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sleep_genes\"/>
    </mc:Choice>
  </mc:AlternateContent>
  <xr:revisionPtr revIDLastSave="0" documentId="13_ncr:1_{E8AC6C54-FCCA-4097-8DAA-1EB28CF6DA4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Sheet1!$A$1:$H$722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1" l="1"/>
  <c r="F80" i="1"/>
  <c r="F81" i="1"/>
  <c r="F82" i="1"/>
  <c r="F83" i="1"/>
  <c r="F84" i="1"/>
  <c r="F85" i="1"/>
  <c r="F86" i="1"/>
  <c r="F87" i="1"/>
  <c r="F15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6" i="1"/>
  <c r="F114" i="1"/>
  <c r="F115" i="1"/>
  <c r="F116" i="1"/>
  <c r="F117" i="1"/>
  <c r="F17" i="1"/>
  <c r="F118" i="1"/>
  <c r="F119" i="1"/>
  <c r="F120" i="1"/>
  <c r="F18" i="1"/>
  <c r="F121" i="1"/>
  <c r="F122" i="1"/>
  <c r="F123" i="1"/>
  <c r="F124" i="1"/>
  <c r="F125" i="1"/>
  <c r="F19" i="1"/>
  <c r="F20" i="1"/>
  <c r="F21" i="1"/>
  <c r="F2" i="1"/>
  <c r="F126" i="1"/>
  <c r="F127" i="1"/>
  <c r="F128" i="1"/>
  <c r="F129" i="1"/>
  <c r="F130" i="1"/>
  <c r="F22" i="1"/>
  <c r="F131" i="1"/>
  <c r="F132" i="1"/>
  <c r="F133" i="1"/>
  <c r="F23" i="1"/>
  <c r="F134" i="1"/>
  <c r="F135" i="1"/>
  <c r="F136" i="1"/>
  <c r="F137" i="1"/>
  <c r="F138" i="1"/>
  <c r="F139" i="1"/>
  <c r="F140" i="1"/>
  <c r="F141" i="1"/>
  <c r="F142" i="1"/>
  <c r="F143" i="1"/>
  <c r="F24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25" i="1"/>
  <c r="F157" i="1"/>
  <c r="F158" i="1"/>
  <c r="F159" i="1"/>
  <c r="F160" i="1"/>
  <c r="F161" i="1"/>
  <c r="F162" i="1"/>
  <c r="F163" i="1"/>
  <c r="F164" i="1"/>
  <c r="F26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27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8" i="1"/>
  <c r="F227" i="1"/>
  <c r="F228" i="1"/>
  <c r="F4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9" i="1"/>
  <c r="F30" i="1"/>
  <c r="F257" i="1"/>
  <c r="F258" i="1"/>
  <c r="F31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32" i="1"/>
  <c r="F274" i="1"/>
  <c r="F275" i="1"/>
  <c r="F276" i="1"/>
  <c r="F277" i="1"/>
  <c r="F33" i="1"/>
  <c r="F3" i="1"/>
  <c r="F34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5" i="1"/>
  <c r="F340" i="1"/>
  <c r="F341" i="1"/>
  <c r="F36" i="1"/>
  <c r="F342" i="1"/>
  <c r="F343" i="1"/>
  <c r="F344" i="1"/>
  <c r="F37" i="1"/>
  <c r="F345" i="1"/>
  <c r="F38" i="1"/>
  <c r="F346" i="1"/>
  <c r="F347" i="1"/>
  <c r="F348" i="1"/>
  <c r="F39" i="1"/>
  <c r="F349" i="1"/>
  <c r="F350" i="1"/>
  <c r="F40" i="1"/>
  <c r="F351" i="1"/>
  <c r="F352" i="1"/>
  <c r="F353" i="1"/>
  <c r="F354" i="1"/>
  <c r="F355" i="1"/>
  <c r="F5" i="1"/>
  <c r="F356" i="1"/>
  <c r="F357" i="1"/>
  <c r="F358" i="1"/>
  <c r="F359" i="1"/>
  <c r="F360" i="1"/>
  <c r="F361" i="1"/>
  <c r="F41" i="1"/>
  <c r="F42" i="1"/>
  <c r="F43" i="1"/>
  <c r="F362" i="1"/>
  <c r="F363" i="1"/>
  <c r="F364" i="1"/>
  <c r="F365" i="1"/>
  <c r="F366" i="1"/>
  <c r="F367" i="1"/>
  <c r="F44" i="1"/>
  <c r="F45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46" i="1"/>
  <c r="F381" i="1"/>
  <c r="F382" i="1"/>
  <c r="F383" i="1"/>
  <c r="F47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8" i="1"/>
  <c r="F409" i="1"/>
  <c r="F49" i="1"/>
  <c r="F410" i="1"/>
  <c r="F411" i="1"/>
  <c r="F50" i="1"/>
  <c r="F412" i="1"/>
  <c r="F413" i="1"/>
  <c r="F414" i="1"/>
  <c r="F415" i="1"/>
  <c r="F416" i="1"/>
  <c r="F417" i="1"/>
  <c r="F418" i="1"/>
  <c r="F419" i="1"/>
  <c r="F420" i="1"/>
  <c r="F51" i="1"/>
  <c r="F421" i="1"/>
  <c r="F422" i="1"/>
  <c r="F5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53" i="1"/>
  <c r="F454" i="1"/>
  <c r="F455" i="1"/>
  <c r="F54" i="1"/>
  <c r="F55" i="1"/>
  <c r="F456" i="1"/>
  <c r="F6" i="1"/>
  <c r="F457" i="1"/>
  <c r="F458" i="1"/>
  <c r="F459" i="1"/>
  <c r="F460" i="1"/>
  <c r="F461" i="1"/>
  <c r="F462" i="1"/>
  <c r="F463" i="1"/>
  <c r="F56" i="1"/>
  <c r="F464" i="1"/>
  <c r="F465" i="1"/>
  <c r="F466" i="1"/>
  <c r="F467" i="1"/>
  <c r="F468" i="1"/>
  <c r="F469" i="1"/>
  <c r="F470" i="1"/>
  <c r="F471" i="1"/>
  <c r="F57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58" i="1"/>
  <c r="F486" i="1"/>
  <c r="F487" i="1"/>
  <c r="F488" i="1"/>
  <c r="F59" i="1"/>
  <c r="F489" i="1"/>
  <c r="F490" i="1"/>
  <c r="F491" i="1"/>
  <c r="F492" i="1"/>
  <c r="F493" i="1"/>
  <c r="F494" i="1"/>
  <c r="F495" i="1"/>
  <c r="F496" i="1"/>
  <c r="F497" i="1"/>
  <c r="F7" i="1"/>
  <c r="F498" i="1"/>
  <c r="F60" i="1"/>
  <c r="F499" i="1"/>
  <c r="F500" i="1"/>
  <c r="F61" i="1"/>
  <c r="F501" i="1"/>
  <c r="F502" i="1"/>
  <c r="F62" i="1"/>
  <c r="F503" i="1"/>
  <c r="F504" i="1"/>
  <c r="F505" i="1"/>
  <c r="F506" i="1"/>
  <c r="F507" i="1"/>
  <c r="F508" i="1"/>
  <c r="F509" i="1"/>
  <c r="F510" i="1"/>
  <c r="F63" i="1"/>
  <c r="F511" i="1"/>
  <c r="F512" i="1"/>
  <c r="F513" i="1"/>
  <c r="F514" i="1"/>
  <c r="F515" i="1"/>
  <c r="F516" i="1"/>
  <c r="F517" i="1"/>
  <c r="F64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8" i="1"/>
  <c r="F532" i="1"/>
  <c r="F533" i="1"/>
  <c r="F534" i="1"/>
  <c r="F535" i="1"/>
  <c r="F536" i="1"/>
  <c r="F9" i="1"/>
  <c r="F65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66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10" i="1"/>
  <c r="F615" i="1"/>
  <c r="F616" i="1"/>
  <c r="F617" i="1"/>
  <c r="F67" i="1"/>
  <c r="F68" i="1"/>
  <c r="F69" i="1"/>
  <c r="F618" i="1"/>
  <c r="F619" i="1"/>
  <c r="F620" i="1"/>
  <c r="F70" i="1"/>
  <c r="F621" i="1"/>
  <c r="F622" i="1"/>
  <c r="F623" i="1"/>
  <c r="F624" i="1"/>
  <c r="F625" i="1"/>
  <c r="F626" i="1"/>
  <c r="F627" i="1"/>
  <c r="F628" i="1"/>
  <c r="F11" i="1"/>
  <c r="F629" i="1"/>
  <c r="F71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72" i="1"/>
  <c r="F647" i="1"/>
  <c r="F648" i="1"/>
  <c r="F649" i="1"/>
  <c r="F650" i="1"/>
  <c r="F651" i="1"/>
  <c r="F73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7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12" i="1"/>
  <c r="F694" i="1"/>
  <c r="F695" i="1"/>
  <c r="F696" i="1"/>
  <c r="F697" i="1"/>
  <c r="F698" i="1"/>
  <c r="F699" i="1"/>
  <c r="F75" i="1"/>
  <c r="F700" i="1"/>
  <c r="F13" i="1"/>
  <c r="F701" i="1"/>
  <c r="F702" i="1"/>
  <c r="F703" i="1"/>
  <c r="F704" i="1"/>
  <c r="F1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6" i="1"/>
  <c r="F77" i="1"/>
  <c r="F78" i="1"/>
  <c r="E79" i="1"/>
  <c r="E80" i="1"/>
  <c r="E81" i="1"/>
  <c r="E82" i="1"/>
  <c r="E83" i="1"/>
  <c r="E84" i="1"/>
  <c r="E85" i="1"/>
  <c r="E86" i="1"/>
  <c r="E87" i="1"/>
  <c r="E15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6" i="1"/>
  <c r="E114" i="1"/>
  <c r="E115" i="1"/>
  <c r="E116" i="1"/>
  <c r="E117" i="1"/>
  <c r="E17" i="1"/>
  <c r="E118" i="1"/>
  <c r="E119" i="1"/>
  <c r="E120" i="1"/>
  <c r="E18" i="1"/>
  <c r="E121" i="1"/>
  <c r="E122" i="1"/>
  <c r="E123" i="1"/>
  <c r="E124" i="1"/>
  <c r="E125" i="1"/>
  <c r="E19" i="1"/>
  <c r="E20" i="1"/>
  <c r="E21" i="1"/>
  <c r="E2" i="1"/>
  <c r="E126" i="1"/>
  <c r="E127" i="1"/>
  <c r="E128" i="1"/>
  <c r="E129" i="1"/>
  <c r="E130" i="1"/>
  <c r="E22" i="1"/>
  <c r="E131" i="1"/>
  <c r="E132" i="1"/>
  <c r="E133" i="1"/>
  <c r="E23" i="1"/>
  <c r="E134" i="1"/>
  <c r="E135" i="1"/>
  <c r="E136" i="1"/>
  <c r="E137" i="1"/>
  <c r="E138" i="1"/>
  <c r="E139" i="1"/>
  <c r="E140" i="1"/>
  <c r="E141" i="1"/>
  <c r="E142" i="1"/>
  <c r="E143" i="1"/>
  <c r="E24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25" i="1"/>
  <c r="E157" i="1"/>
  <c r="E158" i="1"/>
  <c r="E159" i="1"/>
  <c r="E160" i="1"/>
  <c r="E161" i="1"/>
  <c r="E162" i="1"/>
  <c r="E163" i="1"/>
  <c r="E164" i="1"/>
  <c r="E26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27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8" i="1"/>
  <c r="E227" i="1"/>
  <c r="E228" i="1"/>
  <c r="E4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9" i="1"/>
  <c r="E30" i="1"/>
  <c r="E257" i="1"/>
  <c r="E258" i="1"/>
  <c r="E31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32" i="1"/>
  <c r="E274" i="1"/>
  <c r="E275" i="1"/>
  <c r="E276" i="1"/>
  <c r="E277" i="1"/>
  <c r="E33" i="1"/>
  <c r="E3" i="1"/>
  <c r="E34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5" i="1"/>
  <c r="E340" i="1"/>
  <c r="E341" i="1"/>
  <c r="E36" i="1"/>
  <c r="E342" i="1"/>
  <c r="E343" i="1"/>
  <c r="E344" i="1"/>
  <c r="E37" i="1"/>
  <c r="E345" i="1"/>
  <c r="E38" i="1"/>
  <c r="E346" i="1"/>
  <c r="E347" i="1"/>
  <c r="E348" i="1"/>
  <c r="E39" i="1"/>
  <c r="E349" i="1"/>
  <c r="E350" i="1"/>
  <c r="E40" i="1"/>
  <c r="E351" i="1"/>
  <c r="E352" i="1"/>
  <c r="E353" i="1"/>
  <c r="E354" i="1"/>
  <c r="E355" i="1"/>
  <c r="E5" i="1"/>
  <c r="E356" i="1"/>
  <c r="E357" i="1"/>
  <c r="E358" i="1"/>
  <c r="E359" i="1"/>
  <c r="E360" i="1"/>
  <c r="E361" i="1"/>
  <c r="E41" i="1"/>
  <c r="E42" i="1"/>
  <c r="E43" i="1"/>
  <c r="E362" i="1"/>
  <c r="E363" i="1"/>
  <c r="E364" i="1"/>
  <c r="E365" i="1"/>
  <c r="E366" i="1"/>
  <c r="E367" i="1"/>
  <c r="E44" i="1"/>
  <c r="E45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46" i="1"/>
  <c r="E381" i="1"/>
  <c r="E382" i="1"/>
  <c r="E383" i="1"/>
  <c r="E47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8" i="1"/>
  <c r="E409" i="1"/>
  <c r="E49" i="1"/>
  <c r="E410" i="1"/>
  <c r="E411" i="1"/>
  <c r="E50" i="1"/>
  <c r="E412" i="1"/>
  <c r="E413" i="1"/>
  <c r="E414" i="1"/>
  <c r="E415" i="1"/>
  <c r="E416" i="1"/>
  <c r="E417" i="1"/>
  <c r="E418" i="1"/>
  <c r="E419" i="1"/>
  <c r="E420" i="1"/>
  <c r="E51" i="1"/>
  <c r="E421" i="1"/>
  <c r="E422" i="1"/>
  <c r="E5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53" i="1"/>
  <c r="E454" i="1"/>
  <c r="E455" i="1"/>
  <c r="E54" i="1"/>
  <c r="E55" i="1"/>
  <c r="E456" i="1"/>
  <c r="E6" i="1"/>
  <c r="E457" i="1"/>
  <c r="E458" i="1"/>
  <c r="E459" i="1"/>
  <c r="E460" i="1"/>
  <c r="E461" i="1"/>
  <c r="E462" i="1"/>
  <c r="E463" i="1"/>
  <c r="E56" i="1"/>
  <c r="E464" i="1"/>
  <c r="E465" i="1"/>
  <c r="E466" i="1"/>
  <c r="E467" i="1"/>
  <c r="E468" i="1"/>
  <c r="E469" i="1"/>
  <c r="E470" i="1"/>
  <c r="E471" i="1"/>
  <c r="E57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58" i="1"/>
  <c r="E486" i="1"/>
  <c r="E487" i="1"/>
  <c r="E488" i="1"/>
  <c r="E59" i="1"/>
  <c r="E489" i="1"/>
  <c r="E490" i="1"/>
  <c r="E491" i="1"/>
  <c r="E492" i="1"/>
  <c r="E493" i="1"/>
  <c r="E494" i="1"/>
  <c r="E495" i="1"/>
  <c r="E496" i="1"/>
  <c r="E497" i="1"/>
  <c r="E7" i="1"/>
  <c r="E498" i="1"/>
  <c r="E60" i="1"/>
  <c r="E499" i="1"/>
  <c r="E500" i="1"/>
  <c r="E61" i="1"/>
  <c r="E501" i="1"/>
  <c r="E502" i="1"/>
  <c r="E62" i="1"/>
  <c r="E503" i="1"/>
  <c r="E504" i="1"/>
  <c r="E505" i="1"/>
  <c r="E506" i="1"/>
  <c r="E507" i="1"/>
  <c r="E508" i="1"/>
  <c r="E509" i="1"/>
  <c r="E510" i="1"/>
  <c r="E63" i="1"/>
  <c r="E511" i="1"/>
  <c r="E512" i="1"/>
  <c r="E513" i="1"/>
  <c r="E514" i="1"/>
  <c r="E515" i="1"/>
  <c r="E516" i="1"/>
  <c r="E517" i="1"/>
  <c r="E64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8" i="1"/>
  <c r="E532" i="1"/>
  <c r="E533" i="1"/>
  <c r="E534" i="1"/>
  <c r="E535" i="1"/>
  <c r="E536" i="1"/>
  <c r="E9" i="1"/>
  <c r="E65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66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10" i="1"/>
  <c r="E615" i="1"/>
  <c r="E616" i="1"/>
  <c r="E617" i="1"/>
  <c r="E67" i="1"/>
  <c r="E68" i="1"/>
  <c r="E69" i="1"/>
  <c r="E618" i="1"/>
  <c r="E619" i="1"/>
  <c r="E620" i="1"/>
  <c r="E70" i="1"/>
  <c r="E621" i="1"/>
  <c r="E622" i="1"/>
  <c r="E623" i="1"/>
  <c r="E624" i="1"/>
  <c r="E625" i="1"/>
  <c r="E626" i="1"/>
  <c r="E627" i="1"/>
  <c r="E628" i="1"/>
  <c r="E11" i="1"/>
  <c r="E629" i="1"/>
  <c r="E71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72" i="1"/>
  <c r="E647" i="1"/>
  <c r="E648" i="1"/>
  <c r="E649" i="1"/>
  <c r="E650" i="1"/>
  <c r="E651" i="1"/>
  <c r="E73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7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12" i="1"/>
  <c r="E694" i="1"/>
  <c r="E695" i="1"/>
  <c r="E696" i="1"/>
  <c r="E697" i="1"/>
  <c r="E698" i="1"/>
  <c r="E699" i="1"/>
  <c r="E75" i="1"/>
  <c r="E700" i="1"/>
  <c r="E13" i="1"/>
  <c r="E701" i="1"/>
  <c r="E702" i="1"/>
  <c r="E703" i="1"/>
  <c r="E704" i="1"/>
  <c r="E1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6" i="1"/>
  <c r="E77" i="1"/>
  <c r="E78" i="1"/>
  <c r="D79" i="1"/>
  <c r="D80" i="1"/>
  <c r="D81" i="1"/>
  <c r="D82" i="1"/>
  <c r="D83" i="1"/>
  <c r="D84" i="1"/>
  <c r="D85" i="1"/>
  <c r="D86" i="1"/>
  <c r="D87" i="1"/>
  <c r="D15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6" i="1"/>
  <c r="D114" i="1"/>
  <c r="D115" i="1"/>
  <c r="D116" i="1"/>
  <c r="D117" i="1"/>
  <c r="D17" i="1"/>
  <c r="D118" i="1"/>
  <c r="D119" i="1"/>
  <c r="D120" i="1"/>
  <c r="D18" i="1"/>
  <c r="D121" i="1"/>
  <c r="D122" i="1"/>
  <c r="D123" i="1"/>
  <c r="D124" i="1"/>
  <c r="D125" i="1"/>
  <c r="D19" i="1"/>
  <c r="D20" i="1"/>
  <c r="D21" i="1"/>
  <c r="D2" i="1"/>
  <c r="D126" i="1"/>
  <c r="D127" i="1"/>
  <c r="D128" i="1"/>
  <c r="D129" i="1"/>
  <c r="D130" i="1"/>
  <c r="D22" i="1"/>
  <c r="D131" i="1"/>
  <c r="D132" i="1"/>
  <c r="D133" i="1"/>
  <c r="D23" i="1"/>
  <c r="D134" i="1"/>
  <c r="D135" i="1"/>
  <c r="D136" i="1"/>
  <c r="D137" i="1"/>
  <c r="D138" i="1"/>
  <c r="D139" i="1"/>
  <c r="D140" i="1"/>
  <c r="D141" i="1"/>
  <c r="D142" i="1"/>
  <c r="D143" i="1"/>
  <c r="D24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25" i="1"/>
  <c r="D157" i="1"/>
  <c r="D158" i="1"/>
  <c r="D159" i="1"/>
  <c r="D160" i="1"/>
  <c r="D161" i="1"/>
  <c r="D162" i="1"/>
  <c r="D163" i="1"/>
  <c r="D164" i="1"/>
  <c r="D26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27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8" i="1"/>
  <c r="D227" i="1"/>
  <c r="D228" i="1"/>
  <c r="D4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9" i="1"/>
  <c r="D30" i="1"/>
  <c r="D257" i="1"/>
  <c r="D258" i="1"/>
  <c r="D31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32" i="1"/>
  <c r="D274" i="1"/>
  <c r="D275" i="1"/>
  <c r="D276" i="1"/>
  <c r="D277" i="1"/>
  <c r="D33" i="1"/>
  <c r="D3" i="1"/>
  <c r="D34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5" i="1"/>
  <c r="D340" i="1"/>
  <c r="D341" i="1"/>
  <c r="D36" i="1"/>
  <c r="D342" i="1"/>
  <c r="D343" i="1"/>
  <c r="D344" i="1"/>
  <c r="D37" i="1"/>
  <c r="D345" i="1"/>
  <c r="D38" i="1"/>
  <c r="D346" i="1"/>
  <c r="D347" i="1"/>
  <c r="D348" i="1"/>
  <c r="D39" i="1"/>
  <c r="D349" i="1"/>
  <c r="D350" i="1"/>
  <c r="D40" i="1"/>
  <c r="D351" i="1"/>
  <c r="D352" i="1"/>
  <c r="D353" i="1"/>
  <c r="D354" i="1"/>
  <c r="D355" i="1"/>
  <c r="D5" i="1"/>
  <c r="D356" i="1"/>
  <c r="D357" i="1"/>
  <c r="D358" i="1"/>
  <c r="D359" i="1"/>
  <c r="D360" i="1"/>
  <c r="D361" i="1"/>
  <c r="D41" i="1"/>
  <c r="D42" i="1"/>
  <c r="D43" i="1"/>
  <c r="D362" i="1"/>
  <c r="D363" i="1"/>
  <c r="D364" i="1"/>
  <c r="D365" i="1"/>
  <c r="D366" i="1"/>
  <c r="D367" i="1"/>
  <c r="D44" i="1"/>
  <c r="D45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46" i="1"/>
  <c r="D381" i="1"/>
  <c r="D382" i="1"/>
  <c r="D383" i="1"/>
  <c r="D47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8" i="1"/>
  <c r="D409" i="1"/>
  <c r="D49" i="1"/>
  <c r="D410" i="1"/>
  <c r="D411" i="1"/>
  <c r="D50" i="1"/>
  <c r="D412" i="1"/>
  <c r="D413" i="1"/>
  <c r="D414" i="1"/>
  <c r="D415" i="1"/>
  <c r="D416" i="1"/>
  <c r="D417" i="1"/>
  <c r="D418" i="1"/>
  <c r="D419" i="1"/>
  <c r="D420" i="1"/>
  <c r="D51" i="1"/>
  <c r="D421" i="1"/>
  <c r="D422" i="1"/>
  <c r="D5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53" i="1"/>
  <c r="D454" i="1"/>
  <c r="D455" i="1"/>
  <c r="D54" i="1"/>
  <c r="D55" i="1"/>
  <c r="D456" i="1"/>
  <c r="D6" i="1"/>
  <c r="D457" i="1"/>
  <c r="D458" i="1"/>
  <c r="D459" i="1"/>
  <c r="D460" i="1"/>
  <c r="D461" i="1"/>
  <c r="D462" i="1"/>
  <c r="D463" i="1"/>
  <c r="D56" i="1"/>
  <c r="D464" i="1"/>
  <c r="D465" i="1"/>
  <c r="D466" i="1"/>
  <c r="D467" i="1"/>
  <c r="D468" i="1"/>
  <c r="D469" i="1"/>
  <c r="D470" i="1"/>
  <c r="D471" i="1"/>
  <c r="D57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58" i="1"/>
  <c r="D486" i="1"/>
  <c r="D487" i="1"/>
  <c r="D488" i="1"/>
  <c r="D59" i="1"/>
  <c r="D489" i="1"/>
  <c r="D490" i="1"/>
  <c r="D491" i="1"/>
  <c r="D492" i="1"/>
  <c r="D493" i="1"/>
  <c r="D494" i="1"/>
  <c r="D495" i="1"/>
  <c r="D496" i="1"/>
  <c r="D497" i="1"/>
  <c r="D7" i="1"/>
  <c r="D498" i="1"/>
  <c r="D60" i="1"/>
  <c r="D499" i="1"/>
  <c r="D500" i="1"/>
  <c r="D61" i="1"/>
  <c r="D501" i="1"/>
  <c r="D502" i="1"/>
  <c r="D62" i="1"/>
  <c r="D503" i="1"/>
  <c r="D504" i="1"/>
  <c r="D505" i="1"/>
  <c r="D506" i="1"/>
  <c r="D507" i="1"/>
  <c r="D508" i="1"/>
  <c r="D509" i="1"/>
  <c r="D510" i="1"/>
  <c r="D63" i="1"/>
  <c r="D511" i="1"/>
  <c r="D512" i="1"/>
  <c r="D513" i="1"/>
  <c r="D514" i="1"/>
  <c r="D515" i="1"/>
  <c r="D516" i="1"/>
  <c r="D517" i="1"/>
  <c r="D64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8" i="1"/>
  <c r="D532" i="1"/>
  <c r="D533" i="1"/>
  <c r="D534" i="1"/>
  <c r="D535" i="1"/>
  <c r="D536" i="1"/>
  <c r="D9" i="1"/>
  <c r="D65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66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10" i="1"/>
  <c r="D615" i="1"/>
  <c r="D616" i="1"/>
  <c r="D617" i="1"/>
  <c r="D67" i="1"/>
  <c r="D68" i="1"/>
  <c r="D69" i="1"/>
  <c r="D618" i="1"/>
  <c r="D619" i="1"/>
  <c r="D620" i="1"/>
  <c r="D70" i="1"/>
  <c r="D621" i="1"/>
  <c r="D622" i="1"/>
  <c r="D623" i="1"/>
  <c r="D624" i="1"/>
  <c r="D625" i="1"/>
  <c r="D626" i="1"/>
  <c r="D627" i="1"/>
  <c r="D628" i="1"/>
  <c r="D11" i="1"/>
  <c r="D629" i="1"/>
  <c r="D71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72" i="1"/>
  <c r="D647" i="1"/>
  <c r="D648" i="1"/>
  <c r="D649" i="1"/>
  <c r="D650" i="1"/>
  <c r="D651" i="1"/>
  <c r="D73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7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12" i="1"/>
  <c r="D694" i="1"/>
  <c r="D695" i="1"/>
  <c r="D696" i="1"/>
  <c r="D697" i="1"/>
  <c r="D698" i="1"/>
  <c r="D699" i="1"/>
  <c r="D75" i="1"/>
  <c r="D700" i="1"/>
  <c r="D13" i="1"/>
  <c r="D701" i="1"/>
  <c r="D702" i="1"/>
  <c r="D703" i="1"/>
  <c r="D704" i="1"/>
  <c r="D1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6" i="1"/>
  <c r="D77" i="1"/>
  <c r="D78" i="1"/>
  <c r="C79" i="1"/>
  <c r="C80" i="1"/>
  <c r="C81" i="1"/>
  <c r="C82" i="1"/>
  <c r="C83" i="1"/>
  <c r="C84" i="1"/>
  <c r="C85" i="1"/>
  <c r="C86" i="1"/>
  <c r="C87" i="1"/>
  <c r="C15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6" i="1"/>
  <c r="C114" i="1"/>
  <c r="C115" i="1"/>
  <c r="C116" i="1"/>
  <c r="C117" i="1"/>
  <c r="C17" i="1"/>
  <c r="C118" i="1"/>
  <c r="C119" i="1"/>
  <c r="C120" i="1"/>
  <c r="C18" i="1"/>
  <c r="C121" i="1"/>
  <c r="C122" i="1"/>
  <c r="C123" i="1"/>
  <c r="C124" i="1"/>
  <c r="C125" i="1"/>
  <c r="C19" i="1"/>
  <c r="C20" i="1"/>
  <c r="C21" i="1"/>
  <c r="C2" i="1"/>
  <c r="C126" i="1"/>
  <c r="C127" i="1"/>
  <c r="C128" i="1"/>
  <c r="C129" i="1"/>
  <c r="C130" i="1"/>
  <c r="C22" i="1"/>
  <c r="C131" i="1"/>
  <c r="C132" i="1"/>
  <c r="C133" i="1"/>
  <c r="C23" i="1"/>
  <c r="C134" i="1"/>
  <c r="C135" i="1"/>
  <c r="C136" i="1"/>
  <c r="C137" i="1"/>
  <c r="C138" i="1"/>
  <c r="C139" i="1"/>
  <c r="C140" i="1"/>
  <c r="C141" i="1"/>
  <c r="C142" i="1"/>
  <c r="C143" i="1"/>
  <c r="C24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25" i="1"/>
  <c r="C157" i="1"/>
  <c r="C158" i="1"/>
  <c r="C159" i="1"/>
  <c r="C160" i="1"/>
  <c r="C161" i="1"/>
  <c r="C162" i="1"/>
  <c r="C163" i="1"/>
  <c r="C164" i="1"/>
  <c r="C26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27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8" i="1"/>
  <c r="C227" i="1"/>
  <c r="C228" i="1"/>
  <c r="C4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9" i="1"/>
  <c r="C30" i="1"/>
  <c r="C257" i="1"/>
  <c r="C258" i="1"/>
  <c r="C31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32" i="1"/>
  <c r="C274" i="1"/>
  <c r="C275" i="1"/>
  <c r="C276" i="1"/>
  <c r="C277" i="1"/>
  <c r="C33" i="1"/>
  <c r="C3" i="1"/>
  <c r="C34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5" i="1"/>
  <c r="C340" i="1"/>
  <c r="C341" i="1"/>
  <c r="C36" i="1"/>
  <c r="C342" i="1"/>
  <c r="C343" i="1"/>
  <c r="C344" i="1"/>
  <c r="C37" i="1"/>
  <c r="C345" i="1"/>
  <c r="C38" i="1"/>
  <c r="C346" i="1"/>
  <c r="C347" i="1"/>
  <c r="C348" i="1"/>
  <c r="C39" i="1"/>
  <c r="C349" i="1"/>
  <c r="C350" i="1"/>
  <c r="C40" i="1"/>
  <c r="C351" i="1"/>
  <c r="C352" i="1"/>
  <c r="C353" i="1"/>
  <c r="C354" i="1"/>
  <c r="C355" i="1"/>
  <c r="C5" i="1"/>
  <c r="C356" i="1"/>
  <c r="C357" i="1"/>
  <c r="C358" i="1"/>
  <c r="C359" i="1"/>
  <c r="C360" i="1"/>
  <c r="C361" i="1"/>
  <c r="C41" i="1"/>
  <c r="C42" i="1"/>
  <c r="C43" i="1"/>
  <c r="C362" i="1"/>
  <c r="C363" i="1"/>
  <c r="C364" i="1"/>
  <c r="C365" i="1"/>
  <c r="C366" i="1"/>
  <c r="C367" i="1"/>
  <c r="C44" i="1"/>
  <c r="C45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46" i="1"/>
  <c r="C381" i="1"/>
  <c r="C382" i="1"/>
  <c r="C383" i="1"/>
  <c r="C47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8" i="1"/>
  <c r="C409" i="1"/>
  <c r="C49" i="1"/>
  <c r="C410" i="1"/>
  <c r="C411" i="1"/>
  <c r="C50" i="1"/>
  <c r="C412" i="1"/>
  <c r="C413" i="1"/>
  <c r="C414" i="1"/>
  <c r="C415" i="1"/>
  <c r="C416" i="1"/>
  <c r="C417" i="1"/>
  <c r="C418" i="1"/>
  <c r="C419" i="1"/>
  <c r="C420" i="1"/>
  <c r="C51" i="1"/>
  <c r="C421" i="1"/>
  <c r="C422" i="1"/>
  <c r="C5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53" i="1"/>
  <c r="C454" i="1"/>
  <c r="C455" i="1"/>
  <c r="C54" i="1"/>
  <c r="C55" i="1"/>
  <c r="C456" i="1"/>
  <c r="C6" i="1"/>
  <c r="C457" i="1"/>
  <c r="C458" i="1"/>
  <c r="C459" i="1"/>
  <c r="C460" i="1"/>
  <c r="C461" i="1"/>
  <c r="C462" i="1"/>
  <c r="C463" i="1"/>
  <c r="C56" i="1"/>
  <c r="C464" i="1"/>
  <c r="C465" i="1"/>
  <c r="C466" i="1"/>
  <c r="C467" i="1"/>
  <c r="C468" i="1"/>
  <c r="C469" i="1"/>
  <c r="C470" i="1"/>
  <c r="C471" i="1"/>
  <c r="C57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58" i="1"/>
  <c r="C486" i="1"/>
  <c r="C487" i="1"/>
  <c r="C488" i="1"/>
  <c r="C59" i="1"/>
  <c r="C489" i="1"/>
  <c r="C490" i="1"/>
  <c r="C491" i="1"/>
  <c r="C492" i="1"/>
  <c r="C493" i="1"/>
  <c r="C494" i="1"/>
  <c r="C495" i="1"/>
  <c r="C496" i="1"/>
  <c r="C497" i="1"/>
  <c r="C7" i="1"/>
  <c r="C498" i="1"/>
  <c r="C60" i="1"/>
  <c r="C499" i="1"/>
  <c r="C500" i="1"/>
  <c r="C61" i="1"/>
  <c r="C501" i="1"/>
  <c r="C502" i="1"/>
  <c r="C62" i="1"/>
  <c r="C503" i="1"/>
  <c r="C504" i="1"/>
  <c r="C505" i="1"/>
  <c r="C506" i="1"/>
  <c r="C507" i="1"/>
  <c r="C508" i="1"/>
  <c r="C509" i="1"/>
  <c r="C510" i="1"/>
  <c r="C63" i="1"/>
  <c r="C511" i="1"/>
  <c r="C512" i="1"/>
  <c r="C513" i="1"/>
  <c r="C514" i="1"/>
  <c r="C515" i="1"/>
  <c r="C516" i="1"/>
  <c r="C517" i="1"/>
  <c r="C64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8" i="1"/>
  <c r="C532" i="1"/>
  <c r="C533" i="1"/>
  <c r="C534" i="1"/>
  <c r="C535" i="1"/>
  <c r="C536" i="1"/>
  <c r="C9" i="1"/>
  <c r="C65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66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10" i="1"/>
  <c r="C615" i="1"/>
  <c r="C616" i="1"/>
  <c r="C617" i="1"/>
  <c r="C67" i="1"/>
  <c r="C68" i="1"/>
  <c r="C69" i="1"/>
  <c r="C618" i="1"/>
  <c r="C619" i="1"/>
  <c r="C620" i="1"/>
  <c r="C70" i="1"/>
  <c r="C621" i="1"/>
  <c r="C622" i="1"/>
  <c r="C623" i="1"/>
  <c r="C624" i="1"/>
  <c r="C625" i="1"/>
  <c r="C626" i="1"/>
  <c r="C627" i="1"/>
  <c r="C628" i="1"/>
  <c r="C11" i="1"/>
  <c r="C629" i="1"/>
  <c r="C71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72" i="1"/>
  <c r="C647" i="1"/>
  <c r="C648" i="1"/>
  <c r="C649" i="1"/>
  <c r="C650" i="1"/>
  <c r="C651" i="1"/>
  <c r="C73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7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12" i="1"/>
  <c r="C694" i="1"/>
  <c r="C695" i="1"/>
  <c r="C696" i="1"/>
  <c r="C697" i="1"/>
  <c r="C698" i="1"/>
  <c r="C699" i="1"/>
  <c r="C75" i="1"/>
  <c r="C700" i="1"/>
  <c r="C13" i="1"/>
  <c r="C701" i="1"/>
  <c r="C702" i="1"/>
  <c r="C703" i="1"/>
  <c r="C704" i="1"/>
  <c r="C1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6" i="1"/>
  <c r="C77" i="1"/>
  <c r="C78" i="1"/>
  <c r="B79" i="1"/>
  <c r="B80" i="1"/>
  <c r="B81" i="1"/>
  <c r="B82" i="1"/>
  <c r="B83" i="1"/>
  <c r="B84" i="1"/>
  <c r="H84" i="1" s="1"/>
  <c r="B85" i="1"/>
  <c r="B86" i="1"/>
  <c r="B87" i="1"/>
  <c r="B15" i="1"/>
  <c r="B88" i="1"/>
  <c r="B89" i="1"/>
  <c r="B90" i="1"/>
  <c r="H90" i="1" s="1"/>
  <c r="B91" i="1"/>
  <c r="B92" i="1"/>
  <c r="H92" i="1" s="1"/>
  <c r="B93" i="1"/>
  <c r="B94" i="1"/>
  <c r="B95" i="1"/>
  <c r="B96" i="1"/>
  <c r="B97" i="1"/>
  <c r="B98" i="1"/>
  <c r="B99" i="1"/>
  <c r="B100" i="1"/>
  <c r="B101" i="1"/>
  <c r="H101" i="1" s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6" i="1"/>
  <c r="B114" i="1"/>
  <c r="H114" i="1" s="1"/>
  <c r="B115" i="1"/>
  <c r="B116" i="1"/>
  <c r="H116" i="1" s="1"/>
  <c r="B117" i="1"/>
  <c r="B17" i="1"/>
  <c r="B118" i="1"/>
  <c r="B119" i="1"/>
  <c r="B120" i="1"/>
  <c r="H120" i="1" s="1"/>
  <c r="B18" i="1"/>
  <c r="B121" i="1"/>
  <c r="H121" i="1" s="1"/>
  <c r="B122" i="1"/>
  <c r="B123" i="1"/>
  <c r="B124" i="1"/>
  <c r="B125" i="1"/>
  <c r="B19" i="1"/>
  <c r="B20" i="1"/>
  <c r="B21" i="1"/>
  <c r="B2" i="1"/>
  <c r="B126" i="1"/>
  <c r="H126" i="1" s="1"/>
  <c r="B127" i="1"/>
  <c r="B128" i="1"/>
  <c r="B129" i="1"/>
  <c r="B130" i="1"/>
  <c r="B22" i="1"/>
  <c r="H33" i="1" s="1"/>
  <c r="B131" i="1"/>
  <c r="B132" i="1"/>
  <c r="H132" i="1" s="1"/>
  <c r="B133" i="1"/>
  <c r="B23" i="1"/>
  <c r="B134" i="1"/>
  <c r="B135" i="1"/>
  <c r="B136" i="1"/>
  <c r="B137" i="1"/>
  <c r="B138" i="1"/>
  <c r="H138" i="1" s="1"/>
  <c r="B139" i="1"/>
  <c r="B140" i="1"/>
  <c r="H140" i="1" s="1"/>
  <c r="B141" i="1"/>
  <c r="B142" i="1"/>
  <c r="B143" i="1"/>
  <c r="B24" i="1"/>
  <c r="B144" i="1"/>
  <c r="H144" i="1" s="1"/>
  <c r="B145" i="1"/>
  <c r="B146" i="1"/>
  <c r="H146" i="1" s="1"/>
  <c r="B147" i="1"/>
  <c r="B148" i="1"/>
  <c r="B149" i="1"/>
  <c r="B150" i="1"/>
  <c r="B151" i="1"/>
  <c r="B152" i="1"/>
  <c r="B153" i="1"/>
  <c r="H153" i="1" s="1"/>
  <c r="B154" i="1"/>
  <c r="B155" i="1"/>
  <c r="H155" i="1" s="1"/>
  <c r="B156" i="1"/>
  <c r="B25" i="1"/>
  <c r="B157" i="1"/>
  <c r="B158" i="1"/>
  <c r="B159" i="1"/>
  <c r="H159" i="1" s="1"/>
  <c r="B160" i="1"/>
  <c r="B161" i="1"/>
  <c r="B162" i="1"/>
  <c r="B163" i="1"/>
  <c r="B164" i="1"/>
  <c r="B26" i="1"/>
  <c r="B165" i="1"/>
  <c r="B166" i="1"/>
  <c r="B167" i="1"/>
  <c r="H167" i="1" s="1"/>
  <c r="B168" i="1"/>
  <c r="B169" i="1"/>
  <c r="H169" i="1" s="1"/>
  <c r="B170" i="1"/>
  <c r="B171" i="1"/>
  <c r="B172" i="1"/>
  <c r="B173" i="1"/>
  <c r="B174" i="1"/>
  <c r="H174" i="1" s="1"/>
  <c r="B175" i="1"/>
  <c r="B176" i="1"/>
  <c r="H176" i="1" s="1"/>
  <c r="B177" i="1"/>
  <c r="B178" i="1"/>
  <c r="B179" i="1"/>
  <c r="B180" i="1"/>
  <c r="B27" i="1"/>
  <c r="B181" i="1"/>
  <c r="B182" i="1"/>
  <c r="H182" i="1" s="1"/>
  <c r="B183" i="1"/>
  <c r="B184" i="1"/>
  <c r="H184" i="1" s="1"/>
  <c r="B185" i="1"/>
  <c r="B186" i="1"/>
  <c r="B187" i="1"/>
  <c r="B188" i="1"/>
  <c r="B189" i="1"/>
  <c r="H189" i="1" s="1"/>
  <c r="B190" i="1"/>
  <c r="B191" i="1"/>
  <c r="B192" i="1"/>
  <c r="B193" i="1"/>
  <c r="B194" i="1"/>
  <c r="B195" i="1"/>
  <c r="B196" i="1"/>
  <c r="B197" i="1"/>
  <c r="B198" i="1"/>
  <c r="H198" i="1" s="1"/>
  <c r="B199" i="1"/>
  <c r="B200" i="1"/>
  <c r="H200" i="1" s="1"/>
  <c r="B201" i="1"/>
  <c r="B202" i="1"/>
  <c r="B203" i="1"/>
  <c r="B204" i="1"/>
  <c r="B205" i="1"/>
  <c r="H205" i="1" s="1"/>
  <c r="B206" i="1"/>
  <c r="B207" i="1"/>
  <c r="H207" i="1" s="1"/>
  <c r="B208" i="1"/>
  <c r="B209" i="1"/>
  <c r="B210" i="1"/>
  <c r="B211" i="1"/>
  <c r="B212" i="1"/>
  <c r="B213" i="1"/>
  <c r="B214" i="1"/>
  <c r="H214" i="1" s="1"/>
  <c r="B215" i="1"/>
  <c r="B216" i="1"/>
  <c r="H216" i="1" s="1"/>
  <c r="B217" i="1"/>
  <c r="B218" i="1"/>
  <c r="B219" i="1"/>
  <c r="B220" i="1"/>
  <c r="B221" i="1"/>
  <c r="H221" i="1" s="1"/>
  <c r="B222" i="1"/>
  <c r="B223" i="1"/>
  <c r="H223" i="1" s="1"/>
  <c r="B224" i="1"/>
  <c r="B225" i="1"/>
  <c r="B226" i="1"/>
  <c r="B28" i="1"/>
  <c r="B227" i="1"/>
  <c r="B228" i="1"/>
  <c r="B4" i="1"/>
  <c r="B229" i="1"/>
  <c r="B230" i="1"/>
  <c r="H230" i="1" s="1"/>
  <c r="B231" i="1"/>
  <c r="B232" i="1"/>
  <c r="B233" i="1"/>
  <c r="B234" i="1"/>
  <c r="B235" i="1"/>
  <c r="H235" i="1" s="1"/>
  <c r="B236" i="1"/>
  <c r="B237" i="1"/>
  <c r="H237" i="1" s="1"/>
  <c r="B238" i="1"/>
  <c r="B239" i="1"/>
  <c r="B240" i="1"/>
  <c r="B241" i="1"/>
  <c r="B242" i="1"/>
  <c r="B243" i="1"/>
  <c r="B244" i="1"/>
  <c r="H244" i="1" s="1"/>
  <c r="B245" i="1"/>
  <c r="B246" i="1"/>
  <c r="H246" i="1" s="1"/>
  <c r="B247" i="1"/>
  <c r="B248" i="1"/>
  <c r="B249" i="1"/>
  <c r="B250" i="1"/>
  <c r="B251" i="1"/>
  <c r="H251" i="1" s="1"/>
  <c r="B252" i="1"/>
  <c r="B253" i="1"/>
  <c r="H253" i="1" s="1"/>
  <c r="B254" i="1"/>
  <c r="B255" i="1"/>
  <c r="B256" i="1"/>
  <c r="B29" i="1"/>
  <c r="B30" i="1"/>
  <c r="B257" i="1"/>
  <c r="B258" i="1"/>
  <c r="B31" i="1"/>
  <c r="B259" i="1"/>
  <c r="H259" i="1" s="1"/>
  <c r="B260" i="1"/>
  <c r="B261" i="1"/>
  <c r="B262" i="1"/>
  <c r="B263" i="1"/>
  <c r="B264" i="1"/>
  <c r="H264" i="1" s="1"/>
  <c r="B265" i="1"/>
  <c r="B266" i="1"/>
  <c r="H266" i="1" s="1"/>
  <c r="B267" i="1"/>
  <c r="B268" i="1"/>
  <c r="B269" i="1"/>
  <c r="B270" i="1"/>
  <c r="B271" i="1"/>
  <c r="B272" i="1"/>
  <c r="B273" i="1"/>
  <c r="B32" i="1"/>
  <c r="B274" i="1"/>
  <c r="B275" i="1"/>
  <c r="B276" i="1"/>
  <c r="B277" i="1"/>
  <c r="B33" i="1"/>
  <c r="B3" i="1"/>
  <c r="B34" i="1"/>
  <c r="B278" i="1"/>
  <c r="H278" i="1" s="1"/>
  <c r="B279" i="1"/>
  <c r="B280" i="1"/>
  <c r="B281" i="1"/>
  <c r="B282" i="1"/>
  <c r="B283" i="1"/>
  <c r="B284" i="1"/>
  <c r="B285" i="1"/>
  <c r="H285" i="1" s="1"/>
  <c r="B286" i="1"/>
  <c r="B287" i="1"/>
  <c r="H287" i="1" s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5" i="1"/>
  <c r="B340" i="1"/>
  <c r="B341" i="1"/>
  <c r="B36" i="1"/>
  <c r="B342" i="1"/>
  <c r="B343" i="1"/>
  <c r="B344" i="1"/>
  <c r="B37" i="1"/>
  <c r="B345" i="1"/>
  <c r="B38" i="1"/>
  <c r="B346" i="1"/>
  <c r="B347" i="1"/>
  <c r="B348" i="1"/>
  <c r="B39" i="1"/>
  <c r="B349" i="1"/>
  <c r="B350" i="1"/>
  <c r="B40" i="1"/>
  <c r="B351" i="1"/>
  <c r="B352" i="1"/>
  <c r="B353" i="1"/>
  <c r="B354" i="1"/>
  <c r="B355" i="1"/>
  <c r="B5" i="1"/>
  <c r="B356" i="1"/>
  <c r="B357" i="1"/>
  <c r="B358" i="1"/>
  <c r="B359" i="1"/>
  <c r="B360" i="1"/>
  <c r="B361" i="1"/>
  <c r="B41" i="1"/>
  <c r="B42" i="1"/>
  <c r="B43" i="1"/>
  <c r="B362" i="1"/>
  <c r="B363" i="1"/>
  <c r="B364" i="1"/>
  <c r="B365" i="1"/>
  <c r="B366" i="1"/>
  <c r="B367" i="1"/>
  <c r="B44" i="1"/>
  <c r="B45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46" i="1"/>
  <c r="B381" i="1"/>
  <c r="B382" i="1"/>
  <c r="B383" i="1"/>
  <c r="B47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8" i="1"/>
  <c r="B409" i="1"/>
  <c r="B49" i="1"/>
  <c r="B410" i="1"/>
  <c r="B411" i="1"/>
  <c r="B50" i="1"/>
  <c r="B412" i="1"/>
  <c r="B413" i="1"/>
  <c r="B414" i="1"/>
  <c r="B415" i="1"/>
  <c r="B416" i="1"/>
  <c r="B417" i="1"/>
  <c r="B418" i="1"/>
  <c r="B419" i="1"/>
  <c r="B420" i="1"/>
  <c r="B51" i="1"/>
  <c r="B421" i="1"/>
  <c r="B422" i="1"/>
  <c r="B5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53" i="1"/>
  <c r="B454" i="1"/>
  <c r="B455" i="1"/>
  <c r="B54" i="1"/>
  <c r="B55" i="1"/>
  <c r="B456" i="1"/>
  <c r="B6" i="1"/>
  <c r="B457" i="1"/>
  <c r="B458" i="1"/>
  <c r="B459" i="1"/>
  <c r="B460" i="1"/>
  <c r="B461" i="1"/>
  <c r="B462" i="1"/>
  <c r="B463" i="1"/>
  <c r="B56" i="1"/>
  <c r="B464" i="1"/>
  <c r="B465" i="1"/>
  <c r="B466" i="1"/>
  <c r="B467" i="1"/>
  <c r="B468" i="1"/>
  <c r="B469" i="1"/>
  <c r="B470" i="1"/>
  <c r="B471" i="1"/>
  <c r="B57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58" i="1"/>
  <c r="B486" i="1"/>
  <c r="B487" i="1"/>
  <c r="B488" i="1"/>
  <c r="B59" i="1"/>
  <c r="B489" i="1"/>
  <c r="B490" i="1"/>
  <c r="B491" i="1"/>
  <c r="B492" i="1"/>
  <c r="B493" i="1"/>
  <c r="B494" i="1"/>
  <c r="B495" i="1"/>
  <c r="B496" i="1"/>
  <c r="B497" i="1"/>
  <c r="B7" i="1"/>
  <c r="B498" i="1"/>
  <c r="B60" i="1"/>
  <c r="B499" i="1"/>
  <c r="B500" i="1"/>
  <c r="B61" i="1"/>
  <c r="B501" i="1"/>
  <c r="B502" i="1"/>
  <c r="B62" i="1"/>
  <c r="B503" i="1"/>
  <c r="B504" i="1"/>
  <c r="B505" i="1"/>
  <c r="B506" i="1"/>
  <c r="B507" i="1"/>
  <c r="B508" i="1"/>
  <c r="B509" i="1"/>
  <c r="B510" i="1"/>
  <c r="B63" i="1"/>
  <c r="B511" i="1"/>
  <c r="B512" i="1"/>
  <c r="B513" i="1"/>
  <c r="B514" i="1"/>
  <c r="B515" i="1"/>
  <c r="B516" i="1"/>
  <c r="B517" i="1"/>
  <c r="B64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8" i="1"/>
  <c r="B532" i="1"/>
  <c r="B533" i="1"/>
  <c r="B534" i="1"/>
  <c r="B535" i="1"/>
  <c r="B536" i="1"/>
  <c r="B9" i="1"/>
  <c r="B65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66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10" i="1"/>
  <c r="B615" i="1"/>
  <c r="B616" i="1"/>
  <c r="B617" i="1"/>
  <c r="B67" i="1"/>
  <c r="B68" i="1"/>
  <c r="B69" i="1"/>
  <c r="B618" i="1"/>
  <c r="B619" i="1"/>
  <c r="B620" i="1"/>
  <c r="B70" i="1"/>
  <c r="B621" i="1"/>
  <c r="B622" i="1"/>
  <c r="B623" i="1"/>
  <c r="B624" i="1"/>
  <c r="B625" i="1"/>
  <c r="B626" i="1"/>
  <c r="B627" i="1"/>
  <c r="B628" i="1"/>
  <c r="B11" i="1"/>
  <c r="B629" i="1"/>
  <c r="B71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72" i="1"/>
  <c r="B647" i="1"/>
  <c r="B648" i="1"/>
  <c r="B649" i="1"/>
  <c r="B650" i="1"/>
  <c r="B651" i="1"/>
  <c r="B73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7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12" i="1"/>
  <c r="B694" i="1"/>
  <c r="B695" i="1"/>
  <c r="B696" i="1"/>
  <c r="B697" i="1"/>
  <c r="B698" i="1"/>
  <c r="B699" i="1"/>
  <c r="B75" i="1"/>
  <c r="B700" i="1"/>
  <c r="B13" i="1"/>
  <c r="B701" i="1"/>
  <c r="B702" i="1"/>
  <c r="B703" i="1"/>
  <c r="B704" i="1"/>
  <c r="B1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6" i="1"/>
  <c r="B77" i="1"/>
  <c r="B78" i="1"/>
  <c r="H290" i="1" l="1"/>
  <c r="H277" i="1"/>
  <c r="H262" i="1"/>
  <c r="H249" i="1"/>
  <c r="H233" i="1"/>
  <c r="H219" i="1"/>
  <c r="H203" i="1"/>
  <c r="H187" i="1"/>
  <c r="H172" i="1"/>
  <c r="H157" i="1"/>
  <c r="H143" i="1"/>
  <c r="H129" i="1"/>
  <c r="H118" i="1"/>
  <c r="H104" i="1"/>
  <c r="H88" i="1"/>
  <c r="H288" i="1"/>
  <c r="H275" i="1"/>
  <c r="H260" i="1"/>
  <c r="H247" i="1"/>
  <c r="H231" i="1"/>
  <c r="H217" i="1"/>
  <c r="H201" i="1"/>
  <c r="H185" i="1"/>
  <c r="H170" i="1"/>
  <c r="H156" i="1"/>
  <c r="H141" i="1"/>
  <c r="H127" i="1"/>
  <c r="H117" i="1"/>
  <c r="H102" i="1"/>
  <c r="H87" i="1"/>
  <c r="H32" i="1"/>
  <c r="H281" i="1"/>
  <c r="H269" i="1"/>
  <c r="H256" i="1"/>
  <c r="H240" i="1"/>
  <c r="H226" i="1"/>
  <c r="H210" i="1"/>
  <c r="H194" i="1"/>
  <c r="H179" i="1"/>
  <c r="H164" i="1"/>
  <c r="H149" i="1"/>
  <c r="H134" i="1"/>
  <c r="H124" i="1"/>
  <c r="H111" i="1"/>
  <c r="H95" i="1"/>
  <c r="H80" i="1"/>
  <c r="H16" i="1"/>
  <c r="H17" i="1"/>
  <c r="H283" i="1"/>
  <c r="H271" i="1"/>
  <c r="H40" i="1"/>
  <c r="H242" i="1"/>
  <c r="H227" i="1"/>
  <c r="H212" i="1"/>
  <c r="H196" i="1"/>
  <c r="H37" i="1"/>
  <c r="H165" i="1"/>
  <c r="H151" i="1"/>
  <c r="H136" i="1"/>
  <c r="H30" i="1"/>
  <c r="H113" i="1"/>
  <c r="H97" i="1"/>
  <c r="H82" i="1"/>
  <c r="H86" i="1"/>
  <c r="H280" i="1"/>
  <c r="H268" i="1"/>
  <c r="H255" i="1"/>
  <c r="H225" i="1"/>
  <c r="H209" i="1"/>
  <c r="H193" i="1"/>
  <c r="H178" i="1"/>
  <c r="H163" i="1"/>
  <c r="H148" i="1"/>
  <c r="H3" i="1"/>
  <c r="H123" i="1"/>
  <c r="H110" i="1"/>
  <c r="H94" i="1"/>
  <c r="H79" i="1"/>
  <c r="H279" i="1"/>
  <c r="H267" i="1"/>
  <c r="H254" i="1"/>
  <c r="H238" i="1"/>
  <c r="H208" i="1"/>
  <c r="H192" i="1"/>
  <c r="H177" i="1"/>
  <c r="H147" i="1"/>
  <c r="H133" i="1"/>
  <c r="H122" i="1"/>
  <c r="H109" i="1"/>
  <c r="H93" i="1"/>
  <c r="H714" i="1"/>
  <c r="H686" i="1"/>
  <c r="H655" i="1"/>
  <c r="H627" i="1"/>
  <c r="H600" i="1"/>
  <c r="H569" i="1"/>
  <c r="H553" i="1"/>
  <c r="H524" i="1"/>
  <c r="H510" i="1"/>
  <c r="H20" i="1"/>
  <c r="H469" i="1"/>
  <c r="H62" i="1"/>
  <c r="H442" i="1"/>
  <c r="H412" i="1"/>
  <c r="H399" i="1"/>
  <c r="H6" i="1"/>
  <c r="H369" i="1"/>
  <c r="H358" i="1"/>
  <c r="H47" i="1"/>
  <c r="H333" i="1"/>
  <c r="H700" i="1"/>
  <c r="H670" i="1"/>
  <c r="H641" i="1"/>
  <c r="H615" i="1"/>
  <c r="H584" i="1"/>
  <c r="H537" i="1"/>
  <c r="H702" i="1"/>
  <c r="H689" i="1"/>
  <c r="H658" i="1"/>
  <c r="H629" i="1"/>
  <c r="H603" i="1"/>
  <c r="H572" i="1"/>
  <c r="H556" i="1"/>
  <c r="H512" i="1"/>
  <c r="H499" i="1"/>
  <c r="H457" i="1"/>
  <c r="H445" i="1"/>
  <c r="H415" i="1"/>
  <c r="H386" i="1"/>
  <c r="H361" i="1"/>
  <c r="H717" i="1"/>
  <c r="H673" i="1"/>
  <c r="H644" i="1"/>
  <c r="H11" i="1"/>
  <c r="H587" i="1"/>
  <c r="H540" i="1"/>
  <c r="H527" i="1"/>
  <c r="H486" i="1"/>
  <c r="H64" i="1"/>
  <c r="H429" i="1"/>
  <c r="H402" i="1"/>
  <c r="H372" i="1"/>
  <c r="H712" i="1"/>
  <c r="H699" i="1"/>
  <c r="H684" i="1"/>
  <c r="H668" i="1"/>
  <c r="H639" i="1"/>
  <c r="H625" i="1"/>
  <c r="H598" i="1"/>
  <c r="H583" i="1"/>
  <c r="H567" i="1"/>
  <c r="H551" i="1"/>
  <c r="H2" i="1"/>
  <c r="H522" i="1"/>
  <c r="H508" i="1"/>
  <c r="H496" i="1"/>
  <c r="H482" i="1"/>
  <c r="H467" i="1"/>
  <c r="H455" i="1"/>
  <c r="H440" i="1"/>
  <c r="H424" i="1"/>
  <c r="H397" i="1"/>
  <c r="H382" i="1"/>
  <c r="H54" i="1"/>
  <c r="H356" i="1"/>
  <c r="H46" i="1"/>
  <c r="H331" i="1"/>
  <c r="H315" i="1"/>
  <c r="H713" i="1"/>
  <c r="H14" i="1"/>
  <c r="H669" i="1"/>
  <c r="H654" i="1"/>
  <c r="H640" i="1"/>
  <c r="H626" i="1"/>
  <c r="H22" i="1"/>
  <c r="H599" i="1"/>
  <c r="H70" i="1"/>
  <c r="H568" i="1"/>
  <c r="H552" i="1"/>
  <c r="H69" i="1"/>
  <c r="H523" i="1"/>
  <c r="H509" i="1"/>
  <c r="H497" i="1"/>
  <c r="H483" i="1"/>
  <c r="H61" i="1"/>
  <c r="H441" i="1"/>
  <c r="H425" i="1"/>
  <c r="H58" i="1"/>
  <c r="H272" i="1"/>
  <c r="H694" i="1"/>
  <c r="H634" i="1"/>
  <c r="H562" i="1"/>
  <c r="H695" i="1"/>
  <c r="H664" i="1"/>
  <c r="H680" i="1"/>
  <c r="H679" i="1"/>
  <c r="H73" i="1"/>
  <c r="H578" i="1"/>
  <c r="H77" i="1"/>
  <c r="H76" i="1"/>
  <c r="H649" i="1"/>
  <c r="H593" i="1"/>
  <c r="H708" i="1"/>
  <c r="H13" i="1"/>
  <c r="H650" i="1"/>
  <c r="H468" i="1"/>
  <c r="H614" i="1"/>
  <c r="H239" i="1"/>
  <c r="H295" i="1"/>
  <c r="H224" i="1"/>
  <c r="H162" i="1"/>
  <c r="H707" i="1"/>
  <c r="H609" i="1"/>
  <c r="H294" i="1"/>
  <c r="H191" i="1"/>
  <c r="H161" i="1"/>
  <c r="H108" i="1"/>
  <c r="H411" i="1"/>
  <c r="H685" i="1"/>
  <c r="H653" i="1"/>
  <c r="H292" i="1"/>
  <c r="H106" i="1"/>
  <c r="H284" i="1"/>
  <c r="H484" i="1"/>
  <c r="H426" i="1"/>
  <c r="H317" i="1"/>
  <c r="H273" i="1"/>
  <c r="H258" i="1"/>
  <c r="H99" i="1"/>
  <c r="H282" i="1"/>
  <c r="H270" i="1"/>
  <c r="H39" i="1"/>
  <c r="H241" i="1"/>
  <c r="H38" i="1"/>
  <c r="H211" i="1"/>
  <c r="H195" i="1"/>
  <c r="H180" i="1"/>
  <c r="H36" i="1"/>
  <c r="H150" i="1"/>
  <c r="H135" i="1"/>
  <c r="H125" i="1"/>
  <c r="H112" i="1"/>
  <c r="H96" i="1"/>
  <c r="H81" i="1"/>
  <c r="H635" i="1"/>
  <c r="H621" i="1"/>
  <c r="H610" i="1"/>
  <c r="H594" i="1"/>
  <c r="H579" i="1"/>
  <c r="H563" i="1"/>
  <c r="H547" i="1"/>
  <c r="H533" i="1"/>
  <c r="H518" i="1"/>
  <c r="H504" i="1"/>
  <c r="H492" i="1"/>
  <c r="H478" i="1"/>
  <c r="H63" i="1"/>
  <c r="H452" i="1"/>
  <c r="H436" i="1"/>
  <c r="H421" i="1"/>
  <c r="H56" i="1"/>
  <c r="H393" i="1"/>
  <c r="H379" i="1"/>
  <c r="H365" i="1"/>
  <c r="H353" i="1"/>
  <c r="H45" i="1"/>
  <c r="H291" i="1"/>
  <c r="H42" i="1"/>
  <c r="H263" i="1"/>
  <c r="H250" i="1"/>
  <c r="H234" i="1"/>
  <c r="H220" i="1"/>
  <c r="H204" i="1"/>
  <c r="H188" i="1"/>
  <c r="H173" i="1"/>
  <c r="H158" i="1"/>
  <c r="H34" i="1"/>
  <c r="H130" i="1"/>
  <c r="H119" i="1"/>
  <c r="H105" i="1"/>
  <c r="H89" i="1"/>
  <c r="H286" i="1"/>
  <c r="H41" i="1"/>
  <c r="H5" i="1"/>
  <c r="H245" i="1"/>
  <c r="H229" i="1"/>
  <c r="H215" i="1"/>
  <c r="H199" i="1"/>
  <c r="H183" i="1"/>
  <c r="H168" i="1"/>
  <c r="H154" i="1"/>
  <c r="H139" i="1"/>
  <c r="H15" i="1"/>
  <c r="H115" i="1"/>
  <c r="H100" i="1"/>
  <c r="H85" i="1"/>
  <c r="H348" i="1"/>
  <c r="H336" i="1"/>
  <c r="H320" i="1"/>
  <c r="H274" i="1"/>
  <c r="H257" i="1"/>
  <c r="H243" i="1"/>
  <c r="H228" i="1"/>
  <c r="H213" i="1"/>
  <c r="H197" i="1"/>
  <c r="H181" i="1"/>
  <c r="H166" i="1"/>
  <c r="H152" i="1"/>
  <c r="H137" i="1"/>
  <c r="H31" i="1"/>
  <c r="H28" i="1"/>
  <c r="H98" i="1"/>
  <c r="H83" i="1"/>
  <c r="H716" i="1"/>
  <c r="H701" i="1"/>
  <c r="H688" i="1"/>
  <c r="H672" i="1"/>
  <c r="H657" i="1"/>
  <c r="H643" i="1"/>
  <c r="H23" i="1"/>
  <c r="H617" i="1"/>
  <c r="H602" i="1"/>
  <c r="H715" i="1"/>
  <c r="H25" i="1"/>
  <c r="H687" i="1"/>
  <c r="H671" i="1"/>
  <c r="H656" i="1"/>
  <c r="H642" i="1"/>
  <c r="H628" i="1"/>
  <c r="H616" i="1"/>
  <c r="H601" i="1"/>
  <c r="H585" i="1"/>
  <c r="H570" i="1"/>
  <c r="H554" i="1"/>
  <c r="H538" i="1"/>
  <c r="H525" i="1"/>
  <c r="H67" i="1"/>
  <c r="H498" i="1"/>
  <c r="H485" i="1"/>
  <c r="H470" i="1"/>
  <c r="H456" i="1"/>
  <c r="H443" i="1"/>
  <c r="H427" i="1"/>
  <c r="H413" i="1"/>
  <c r="H400" i="1"/>
  <c r="H384" i="1"/>
  <c r="H370" i="1"/>
  <c r="H359" i="1"/>
  <c r="H346" i="1"/>
  <c r="H334" i="1"/>
  <c r="H318" i="1"/>
  <c r="H299" i="1"/>
  <c r="H311" i="1"/>
  <c r="H722" i="1"/>
  <c r="H706" i="1"/>
  <c r="H24" i="1"/>
  <c r="H678" i="1"/>
  <c r="H663" i="1"/>
  <c r="H648" i="1"/>
  <c r="H721" i="1"/>
  <c r="H705" i="1"/>
  <c r="H693" i="1"/>
  <c r="H677" i="1"/>
  <c r="H662" i="1"/>
  <c r="H647" i="1"/>
  <c r="H632" i="1"/>
  <c r="H619" i="1"/>
  <c r="H607" i="1"/>
  <c r="H591" i="1"/>
  <c r="H576" i="1"/>
  <c r="H560" i="1"/>
  <c r="H544" i="1"/>
  <c r="H531" i="1"/>
  <c r="H516" i="1"/>
  <c r="H502" i="1"/>
  <c r="H489" i="1"/>
  <c r="H475" i="1"/>
  <c r="H461" i="1"/>
  <c r="H449" i="1"/>
  <c r="H433" i="1"/>
  <c r="H419" i="1"/>
  <c r="H406" i="1"/>
  <c r="H390" i="1"/>
  <c r="H376" i="1"/>
  <c r="H362" i="1"/>
  <c r="H49" i="1"/>
  <c r="H44" i="1"/>
  <c r="H324" i="1"/>
  <c r="H308" i="1"/>
  <c r="H302" i="1"/>
  <c r="H720" i="1"/>
  <c r="H26" i="1"/>
  <c r="H692" i="1"/>
  <c r="H676" i="1"/>
  <c r="H661" i="1"/>
  <c r="H12" i="1"/>
  <c r="H631" i="1"/>
  <c r="H618" i="1"/>
  <c r="H606" i="1"/>
  <c r="H590" i="1"/>
  <c r="H575" i="1"/>
  <c r="H559" i="1"/>
  <c r="H543" i="1"/>
  <c r="H530" i="1"/>
  <c r="H515" i="1"/>
  <c r="H501" i="1"/>
  <c r="H9" i="1"/>
  <c r="H474" i="1"/>
  <c r="H460" i="1"/>
  <c r="H448" i="1"/>
  <c r="H432" i="1"/>
  <c r="H418" i="1"/>
  <c r="H405" i="1"/>
  <c r="H389" i="1"/>
  <c r="H375" i="1"/>
  <c r="H52" i="1"/>
  <c r="H350" i="1"/>
  <c r="H339" i="1"/>
  <c r="H323" i="1"/>
  <c r="H307" i="1"/>
  <c r="H719" i="1"/>
  <c r="H704" i="1"/>
  <c r="H691" i="1"/>
  <c r="H675" i="1"/>
  <c r="H660" i="1"/>
  <c r="H646" i="1"/>
  <c r="H630" i="1"/>
  <c r="H72" i="1"/>
  <c r="H605" i="1"/>
  <c r="H589" i="1"/>
  <c r="H574" i="1"/>
  <c r="H558" i="1"/>
  <c r="H542" i="1"/>
  <c r="H529" i="1"/>
  <c r="H514" i="1"/>
  <c r="H66" i="1"/>
  <c r="H488" i="1"/>
  <c r="H473" i="1"/>
  <c r="H459" i="1"/>
  <c r="H447" i="1"/>
  <c r="H431" i="1"/>
  <c r="H417" i="1"/>
  <c r="H404" i="1"/>
  <c r="H388" i="1"/>
  <c r="H374" i="1"/>
  <c r="H51" i="1"/>
  <c r="H349" i="1"/>
  <c r="H338" i="1"/>
  <c r="H322" i="1"/>
  <c r="H306" i="1"/>
  <c r="H304" i="1"/>
  <c r="H301" i="1"/>
  <c r="H546" i="1"/>
  <c r="H532" i="1"/>
  <c r="H68" i="1"/>
  <c r="H503" i="1"/>
  <c r="H491" i="1"/>
  <c r="H477" i="1"/>
  <c r="H463" i="1"/>
  <c r="H451" i="1"/>
  <c r="H435" i="1"/>
  <c r="H59" i="1"/>
  <c r="H408" i="1"/>
  <c r="H392" i="1"/>
  <c r="H378" i="1"/>
  <c r="H364" i="1"/>
  <c r="H352" i="1"/>
  <c r="H341" i="1"/>
  <c r="H326" i="1"/>
  <c r="H310" i="1"/>
  <c r="H633" i="1"/>
  <c r="H620" i="1"/>
  <c r="H608" i="1"/>
  <c r="H592" i="1"/>
  <c r="H577" i="1"/>
  <c r="H561" i="1"/>
  <c r="H545" i="1"/>
  <c r="H21" i="1"/>
  <c r="H517" i="1"/>
  <c r="H10" i="1"/>
  <c r="H490" i="1"/>
  <c r="H476" i="1"/>
  <c r="H462" i="1"/>
  <c r="H450" i="1"/>
  <c r="H434" i="1"/>
  <c r="H420" i="1"/>
  <c r="H407" i="1"/>
  <c r="H391" i="1"/>
  <c r="H377" i="1"/>
  <c r="H363" i="1"/>
  <c r="H351" i="1"/>
  <c r="H340" i="1"/>
  <c r="H325" i="1"/>
  <c r="H309" i="1"/>
  <c r="H293" i="1"/>
  <c r="H43" i="1"/>
  <c r="H265" i="1"/>
  <c r="H252" i="1"/>
  <c r="H236" i="1"/>
  <c r="H222" i="1"/>
  <c r="H206" i="1"/>
  <c r="H190" i="1"/>
  <c r="H175" i="1"/>
  <c r="H160" i="1"/>
  <c r="H145" i="1"/>
  <c r="H131" i="1"/>
  <c r="H29" i="1"/>
  <c r="H107" i="1"/>
  <c r="H91" i="1"/>
  <c r="H718" i="1"/>
  <c r="H703" i="1"/>
  <c r="H690" i="1"/>
  <c r="H674" i="1"/>
  <c r="H659" i="1"/>
  <c r="H645" i="1"/>
  <c r="H74" i="1"/>
  <c r="H71" i="1"/>
  <c r="H604" i="1"/>
  <c r="H588" i="1"/>
  <c r="H573" i="1"/>
  <c r="H557" i="1"/>
  <c r="H541" i="1"/>
  <c r="H528" i="1"/>
  <c r="H513" i="1"/>
  <c r="H500" i="1"/>
  <c r="H487" i="1"/>
  <c r="H472" i="1"/>
  <c r="H458" i="1"/>
  <c r="H446" i="1"/>
  <c r="H430" i="1"/>
  <c r="H416" i="1"/>
  <c r="H403" i="1"/>
  <c r="H387" i="1"/>
  <c r="H373" i="1"/>
  <c r="H50" i="1"/>
  <c r="H48" i="1"/>
  <c r="H337" i="1"/>
  <c r="H321" i="1"/>
  <c r="H305" i="1"/>
  <c r="H289" i="1"/>
  <c r="H276" i="1"/>
  <c r="H261" i="1"/>
  <c r="H248" i="1"/>
  <c r="H232" i="1"/>
  <c r="H218" i="1"/>
  <c r="H202" i="1"/>
  <c r="H186" i="1"/>
  <c r="H171" i="1"/>
  <c r="H35" i="1"/>
  <c r="H142" i="1"/>
  <c r="H128" i="1"/>
  <c r="H4" i="1"/>
  <c r="H103" i="1"/>
  <c r="H27" i="1"/>
  <c r="H586" i="1"/>
  <c r="H571" i="1"/>
  <c r="H555" i="1"/>
  <c r="H539" i="1"/>
  <c r="H526" i="1"/>
  <c r="H511" i="1"/>
  <c r="H65" i="1"/>
  <c r="H8" i="1"/>
  <c r="H471" i="1"/>
  <c r="H19" i="1"/>
  <c r="H444" i="1"/>
  <c r="H428" i="1"/>
  <c r="H414" i="1"/>
  <c r="H401" i="1"/>
  <c r="H385" i="1"/>
  <c r="H371" i="1"/>
  <c r="H360" i="1"/>
  <c r="H347" i="1"/>
  <c r="H335" i="1"/>
  <c r="H319" i="1"/>
  <c r="H303" i="1"/>
  <c r="H398" i="1"/>
  <c r="H383" i="1"/>
  <c r="H368" i="1"/>
  <c r="H357" i="1"/>
  <c r="H345" i="1"/>
  <c r="H332" i="1"/>
  <c r="H316" i="1"/>
  <c r="H300" i="1"/>
  <c r="H683" i="1"/>
  <c r="H698" i="1"/>
  <c r="H667" i="1"/>
  <c r="H711" i="1"/>
  <c r="H652" i="1"/>
  <c r="H327" i="1"/>
  <c r="H638" i="1"/>
  <c r="H624" i="1"/>
  <c r="H613" i="1"/>
  <c r="H597" i="1"/>
  <c r="H582" i="1"/>
  <c r="H566" i="1"/>
  <c r="H550" i="1"/>
  <c r="H536" i="1"/>
  <c r="H521" i="1"/>
  <c r="H507" i="1"/>
  <c r="H495" i="1"/>
  <c r="H481" i="1"/>
  <c r="H466" i="1"/>
  <c r="H454" i="1"/>
  <c r="H439" i="1"/>
  <c r="H423" i="1"/>
  <c r="H410" i="1"/>
  <c r="H396" i="1"/>
  <c r="H381" i="1"/>
  <c r="H53" i="1"/>
  <c r="H18" i="1"/>
  <c r="H344" i="1"/>
  <c r="H330" i="1"/>
  <c r="H314" i="1"/>
  <c r="H298" i="1"/>
  <c r="H710" i="1"/>
  <c r="H697" i="1"/>
  <c r="H682" i="1"/>
  <c r="H666" i="1"/>
  <c r="H75" i="1"/>
  <c r="H637" i="1"/>
  <c r="H623" i="1"/>
  <c r="H612" i="1"/>
  <c r="H596" i="1"/>
  <c r="H581" i="1"/>
  <c r="H565" i="1"/>
  <c r="H549" i="1"/>
  <c r="H535" i="1"/>
  <c r="H520" i="1"/>
  <c r="H506" i="1"/>
  <c r="H494" i="1"/>
  <c r="H480" i="1"/>
  <c r="H465" i="1"/>
  <c r="H60" i="1"/>
  <c r="H438" i="1"/>
  <c r="H7" i="1"/>
  <c r="H57" i="1"/>
  <c r="H395" i="1"/>
  <c r="H55" i="1"/>
  <c r="H367" i="1"/>
  <c r="H355" i="1"/>
  <c r="H343" i="1"/>
  <c r="H329" i="1"/>
  <c r="H313" i="1"/>
  <c r="H297" i="1"/>
  <c r="H709" i="1"/>
  <c r="H696" i="1"/>
  <c r="H681" i="1"/>
  <c r="H665" i="1"/>
  <c r="H651" i="1"/>
  <c r="H636" i="1"/>
  <c r="H622" i="1"/>
  <c r="H611" i="1"/>
  <c r="H595" i="1"/>
  <c r="H580" i="1"/>
  <c r="H564" i="1"/>
  <c r="H548" i="1"/>
  <c r="H534" i="1"/>
  <c r="H519" i="1"/>
  <c r="H505" i="1"/>
  <c r="H493" i="1"/>
  <c r="H479" i="1"/>
  <c r="H464" i="1"/>
  <c r="H453" i="1"/>
  <c r="H437" i="1"/>
  <c r="H422" i="1"/>
  <c r="H409" i="1"/>
  <c r="H394" i="1"/>
  <c r="H380" i="1"/>
  <c r="H366" i="1"/>
  <c r="H354" i="1"/>
  <c r="H342" i="1"/>
  <c r="H328" i="1"/>
  <c r="H312" i="1"/>
  <c r="H296" i="1"/>
  <c r="H78" i="1"/>
</calcChain>
</file>

<file path=xl/sharedStrings.xml><?xml version="1.0" encoding="utf-8"?>
<sst xmlns="http://schemas.openxmlformats.org/spreadsheetml/2006/main" count="728" uniqueCount="728">
  <si>
    <t>Aacs</t>
  </si>
  <si>
    <t>Acss2</t>
  </si>
  <si>
    <t>Apoe</t>
  </si>
  <si>
    <t>Cst3</t>
  </si>
  <si>
    <t>Dpp10</t>
  </si>
  <si>
    <t>Gm47283</t>
  </si>
  <si>
    <t>Hmgcs1</t>
  </si>
  <si>
    <t>Kcnip4</t>
  </si>
  <si>
    <t>Malat1</t>
  </si>
  <si>
    <t>Nav3</t>
  </si>
  <si>
    <t>Nrg3</t>
  </si>
  <si>
    <t>Pcyt2</t>
  </si>
  <si>
    <t>Ptgds</t>
  </si>
  <si>
    <t>Ptprd</t>
  </si>
  <si>
    <t>Rplp1</t>
  </si>
  <si>
    <t>Rps8</t>
  </si>
  <si>
    <t>Sgcz</t>
  </si>
  <si>
    <t>Slc1a3</t>
  </si>
  <si>
    <t>1700016P03Rik</t>
  </si>
  <si>
    <t>1700024B18Rik</t>
  </si>
  <si>
    <t>4930545L23Rik</t>
  </si>
  <si>
    <t>4930547E14Rik</t>
  </si>
  <si>
    <t>4930567K20Rik</t>
  </si>
  <si>
    <t>5031439G07Rik</t>
  </si>
  <si>
    <t>5530401A14Rik</t>
  </si>
  <si>
    <t>6330403K07Rik</t>
  </si>
  <si>
    <t>6330576A10Rik</t>
  </si>
  <si>
    <t>9330162G02Rik</t>
  </si>
  <si>
    <t>9430041J12Rik</t>
  </si>
  <si>
    <t>9630014M24Rik</t>
  </si>
  <si>
    <t>9630028H03Rik</t>
  </si>
  <si>
    <t>A230057D06Rik</t>
  </si>
  <si>
    <t>Abcb9</t>
  </si>
  <si>
    <t>Abcc5</t>
  </si>
  <si>
    <t>Abcc8</t>
  </si>
  <si>
    <t>Abi3bp</t>
  </si>
  <si>
    <t>Abl2</t>
  </si>
  <si>
    <t>Actg1</t>
  </si>
  <si>
    <t>Actn4</t>
  </si>
  <si>
    <t>Actr1b</t>
  </si>
  <si>
    <t>Acvr1</t>
  </si>
  <si>
    <t>Adam11</t>
  </si>
  <si>
    <t>Adam23</t>
  </si>
  <si>
    <t>Adam33</t>
  </si>
  <si>
    <t>Adarb1</t>
  </si>
  <si>
    <t>Adcy8</t>
  </si>
  <si>
    <t>Adgrb3</t>
  </si>
  <si>
    <t>Adrb1</t>
  </si>
  <si>
    <t>Aig1</t>
  </si>
  <si>
    <t>Akap8l</t>
  </si>
  <si>
    <t>Aldoa</t>
  </si>
  <si>
    <t>Ank2</t>
  </si>
  <si>
    <t>Ankrd28</t>
  </si>
  <si>
    <t>Ankrd6</t>
  </si>
  <si>
    <t>Apbb2</t>
  </si>
  <si>
    <t>Arc</t>
  </si>
  <si>
    <t>Arhgap10</t>
  </si>
  <si>
    <t>Arhgap23</t>
  </si>
  <si>
    <t>Arhgap26</t>
  </si>
  <si>
    <t>Arhgap29</t>
  </si>
  <si>
    <t>Arhgap42</t>
  </si>
  <si>
    <t>Arhgap44</t>
  </si>
  <si>
    <t>Arid1b</t>
  </si>
  <si>
    <t>Arid5b</t>
  </si>
  <si>
    <t>Arl6ip1</t>
  </si>
  <si>
    <t>Arnt2</t>
  </si>
  <si>
    <t>Arntl</t>
  </si>
  <si>
    <t>Arpp21</t>
  </si>
  <si>
    <t>Arr3</t>
  </si>
  <si>
    <t>Asap1</t>
  </si>
  <si>
    <t>Asic2</t>
  </si>
  <si>
    <t>Astn2</t>
  </si>
  <si>
    <t>Atad2</t>
  </si>
  <si>
    <t>Atg16l1</t>
  </si>
  <si>
    <t>Atp1a1</t>
  </si>
  <si>
    <t>Atp1a3</t>
  </si>
  <si>
    <t>Atp2b2</t>
  </si>
  <si>
    <t>Atp2c1</t>
  </si>
  <si>
    <t>Atp5g1</t>
  </si>
  <si>
    <t>Atp5g3</t>
  </si>
  <si>
    <t>Atp5h</t>
  </si>
  <si>
    <t>Atp5j</t>
  </si>
  <si>
    <t>Atp5o.1</t>
  </si>
  <si>
    <t>Atp6v0c</t>
  </si>
  <si>
    <t>Atp6v1d</t>
  </si>
  <si>
    <t>Atp6v1f</t>
  </si>
  <si>
    <t>Atp8a2</t>
  </si>
  <si>
    <t>Atp8b2</t>
  </si>
  <si>
    <t>Atxn7l3b</t>
  </si>
  <si>
    <t>B3galt2</t>
  </si>
  <si>
    <t>Bace2</t>
  </si>
  <si>
    <t>BC051142</t>
  </si>
  <si>
    <t>Bc1</t>
  </si>
  <si>
    <t>Bex2</t>
  </si>
  <si>
    <t>Bhlhe40</t>
  </si>
  <si>
    <t>Bicdl1</t>
  </si>
  <si>
    <t>Bicral</t>
  </si>
  <si>
    <t>Birc6</t>
  </si>
  <si>
    <t>Bmpr1b</t>
  </si>
  <si>
    <t>Brinp1</t>
  </si>
  <si>
    <t>Brwd1</t>
  </si>
  <si>
    <t>C030004G16Rik</t>
  </si>
  <si>
    <t>Cacna1a</t>
  </si>
  <si>
    <t>Cacnb2</t>
  </si>
  <si>
    <t>Cadm2</t>
  </si>
  <si>
    <t>Cadps2</t>
  </si>
  <si>
    <t>Calm1</t>
  </si>
  <si>
    <t>Calm2</t>
  </si>
  <si>
    <t>Caly</t>
  </si>
  <si>
    <t>Camk1</t>
  </si>
  <si>
    <t>Camk2a</t>
  </si>
  <si>
    <t>Camk2g</t>
  </si>
  <si>
    <t>Camk2n1</t>
  </si>
  <si>
    <t>Camk4</t>
  </si>
  <si>
    <t>Camkk2</t>
  </si>
  <si>
    <t>Camta1</t>
  </si>
  <si>
    <t>Cask</t>
  </si>
  <si>
    <t>Ccdc85b</t>
  </si>
  <si>
    <t>Ccdc88c</t>
  </si>
  <si>
    <t>Cck</t>
  </si>
  <si>
    <t>Ccn1</t>
  </si>
  <si>
    <t>Ccnb1</t>
  </si>
  <si>
    <t>Ccser1</t>
  </si>
  <si>
    <t>Cd2ap</t>
  </si>
  <si>
    <t>Cd81</t>
  </si>
  <si>
    <t>Cdc42se2</t>
  </si>
  <si>
    <t>Cdh4</t>
  </si>
  <si>
    <t>Cdh6</t>
  </si>
  <si>
    <t>Cdk8</t>
  </si>
  <si>
    <t>Cdr1os</t>
  </si>
  <si>
    <t>Chchd10</t>
  </si>
  <si>
    <t>Chchd2</t>
  </si>
  <si>
    <t>Chd6</t>
  </si>
  <si>
    <t>Chrm3</t>
  </si>
  <si>
    <t>Cit</t>
  </si>
  <si>
    <t>Ckb</t>
  </si>
  <si>
    <t>Clip1</t>
  </si>
  <si>
    <t>Clstn1</t>
  </si>
  <si>
    <t>Cmss1</t>
  </si>
  <si>
    <t>Cnnm2</t>
  </si>
  <si>
    <t>Cntn5</t>
  </si>
  <si>
    <t>Cntnap2</t>
  </si>
  <si>
    <t>Cntnap5a</t>
  </si>
  <si>
    <t>Cntnap5b</t>
  </si>
  <si>
    <t>Cntnap5c</t>
  </si>
  <si>
    <t>Col25a1</t>
  </si>
  <si>
    <t>Col26a1</t>
  </si>
  <si>
    <t>Col4a1</t>
  </si>
  <si>
    <t>Coro2a</t>
  </si>
  <si>
    <t>Cox19</t>
  </si>
  <si>
    <t>Cox4i1</t>
  </si>
  <si>
    <t>Cox5b</t>
  </si>
  <si>
    <t>Cox6c</t>
  </si>
  <si>
    <t>Cox7a2</t>
  </si>
  <si>
    <t>Cox7b</t>
  </si>
  <si>
    <t>Cox8a</t>
  </si>
  <si>
    <t>Cpne4</t>
  </si>
  <si>
    <t>Cpne6</t>
  </si>
  <si>
    <t>Cpne9</t>
  </si>
  <si>
    <t>Crebzf</t>
  </si>
  <si>
    <t>Crhr1</t>
  </si>
  <si>
    <t>Csf2ra</t>
  </si>
  <si>
    <t>Csmd1</t>
  </si>
  <si>
    <t>Cttnbp2</t>
  </si>
  <si>
    <t>Cux1</t>
  </si>
  <si>
    <t>Cx3cl1</t>
  </si>
  <si>
    <t>D130043K22Rik</t>
  </si>
  <si>
    <t>Dbp</t>
  </si>
  <si>
    <t>Dclk1</t>
  </si>
  <si>
    <t>Dcp1b</t>
  </si>
  <si>
    <t>Dcx</t>
  </si>
  <si>
    <t>Ddhd1</t>
  </si>
  <si>
    <t>Ddx17</t>
  </si>
  <si>
    <t>Dgkh</t>
  </si>
  <si>
    <t>Dgki</t>
  </si>
  <si>
    <t>Dgkz</t>
  </si>
  <si>
    <t>Dhx57</t>
  </si>
  <si>
    <t>Diaph2</t>
  </si>
  <si>
    <t>Dip2b</t>
  </si>
  <si>
    <t>Dleu2</t>
  </si>
  <si>
    <t>Dmd</t>
  </si>
  <si>
    <t>Dnmt3a</t>
  </si>
  <si>
    <t>Dock3</t>
  </si>
  <si>
    <t>Dok5</t>
  </si>
  <si>
    <t>Dop1b</t>
  </si>
  <si>
    <t>Drp2</t>
  </si>
  <si>
    <t>Dst</t>
  </si>
  <si>
    <t>Dtna</t>
  </si>
  <si>
    <t>E130307A14Rik</t>
  </si>
  <si>
    <t>Ebpl</t>
  </si>
  <si>
    <t>Ece1</t>
  </si>
  <si>
    <t>Eef1a1</t>
  </si>
  <si>
    <t>Eef1b2</t>
  </si>
  <si>
    <t>Eef1g</t>
  </si>
  <si>
    <t>Efr3b</t>
  </si>
  <si>
    <t>Egr1</t>
  </si>
  <si>
    <t>Egr3</t>
  </si>
  <si>
    <t>Egr4</t>
  </si>
  <si>
    <t>Elob</t>
  </si>
  <si>
    <t>Enah</t>
  </si>
  <si>
    <t>ENSMUSG00000120164</t>
  </si>
  <si>
    <t>ENSMUSG00000121060</t>
  </si>
  <si>
    <t>Epb41l5</t>
  </si>
  <si>
    <t>Epha10</t>
  </si>
  <si>
    <t>Esco1</t>
  </si>
  <si>
    <t>Etl4</t>
  </si>
  <si>
    <t>Etnk2</t>
  </si>
  <si>
    <t>Exph5</t>
  </si>
  <si>
    <t>Ext1</t>
  </si>
  <si>
    <t>Fam168a</t>
  </si>
  <si>
    <t>Fam219a</t>
  </si>
  <si>
    <t>Farp1</t>
  </si>
  <si>
    <t>Fat3</t>
  </si>
  <si>
    <t>Fau</t>
  </si>
  <si>
    <t>Fbxl2</t>
  </si>
  <si>
    <t>Fbxo34</t>
  </si>
  <si>
    <t>Fgf1</t>
  </si>
  <si>
    <t>Fgf12</t>
  </si>
  <si>
    <t>Fmn1</t>
  </si>
  <si>
    <t>Fndc3b</t>
  </si>
  <si>
    <t>Fntb</t>
  </si>
  <si>
    <t>Fos</t>
  </si>
  <si>
    <t>Fosl2</t>
  </si>
  <si>
    <t>Foxo3</t>
  </si>
  <si>
    <t>Fras1</t>
  </si>
  <si>
    <t>Frmd4a</t>
  </si>
  <si>
    <t>Frmd5</t>
  </si>
  <si>
    <t>Fscn1</t>
  </si>
  <si>
    <t>Fth1</t>
  </si>
  <si>
    <t>Fut9</t>
  </si>
  <si>
    <t>Gapdh</t>
  </si>
  <si>
    <t>Gclc</t>
  </si>
  <si>
    <t>Gdpd5</t>
  </si>
  <si>
    <t>Gfpt2</t>
  </si>
  <si>
    <t>Gins2</t>
  </si>
  <si>
    <t>Git2</t>
  </si>
  <si>
    <t>Gm10130</t>
  </si>
  <si>
    <t>Gm10848</t>
  </si>
  <si>
    <t>Gm11290</t>
  </si>
  <si>
    <t>Gm12394</t>
  </si>
  <si>
    <t>Gm13269</t>
  </si>
  <si>
    <t>Gm15398</t>
  </si>
  <si>
    <t>Gm15414</t>
  </si>
  <si>
    <t>Gm15425</t>
  </si>
  <si>
    <t>Gm15680</t>
  </si>
  <si>
    <t>Gm16204</t>
  </si>
  <si>
    <t>Gm16599</t>
  </si>
  <si>
    <t>Gm20752</t>
  </si>
  <si>
    <t>Gm26691</t>
  </si>
  <si>
    <t>Gm26911</t>
  </si>
  <si>
    <t>Gm27032</t>
  </si>
  <si>
    <t>Gm2824</t>
  </si>
  <si>
    <t>Gm30313</t>
  </si>
  <si>
    <t>Gm32442</t>
  </si>
  <si>
    <t>Gm32880</t>
  </si>
  <si>
    <t>Gm33228</t>
  </si>
  <si>
    <t>Gm34237</t>
  </si>
  <si>
    <t>Gm3728</t>
  </si>
  <si>
    <t>Gm37340</t>
  </si>
  <si>
    <t>Gm37407</t>
  </si>
  <si>
    <t>Gm39326</t>
  </si>
  <si>
    <t>Gm41231</t>
  </si>
  <si>
    <t>Gm41505</t>
  </si>
  <si>
    <t>Gm42439</t>
  </si>
  <si>
    <t>Gm42993</t>
  </si>
  <si>
    <t>Gm43192</t>
  </si>
  <si>
    <t>Gm43507</t>
  </si>
  <si>
    <t>Gm43670</t>
  </si>
  <si>
    <t>Gm43684</t>
  </si>
  <si>
    <t>Gm45153</t>
  </si>
  <si>
    <t>Gm47155</t>
  </si>
  <si>
    <t>Gm47423</t>
  </si>
  <si>
    <t>Gm48006</t>
  </si>
  <si>
    <t>Gm48512</t>
  </si>
  <si>
    <t>Gm49334</t>
  </si>
  <si>
    <t>Gm49678</t>
  </si>
  <si>
    <t>Gm50469</t>
  </si>
  <si>
    <t>Gm55122</t>
  </si>
  <si>
    <t>Gmcl1</t>
  </si>
  <si>
    <t>Gng3</t>
  </si>
  <si>
    <t>Golga4</t>
  </si>
  <si>
    <t>Gpm6a</t>
  </si>
  <si>
    <t>Grb14</t>
  </si>
  <si>
    <t>Gria1</t>
  </si>
  <si>
    <t>Gria2</t>
  </si>
  <si>
    <t>Grik5</t>
  </si>
  <si>
    <t>Grin1</t>
  </si>
  <si>
    <t>Grm1</t>
  </si>
  <si>
    <t>Grm3</t>
  </si>
  <si>
    <t>Grm5</t>
  </si>
  <si>
    <t>Gstm5</t>
  </si>
  <si>
    <t>Gtf2i</t>
  </si>
  <si>
    <t>H3f3b</t>
  </si>
  <si>
    <t>Has1</t>
  </si>
  <si>
    <t>Hdac4</t>
  </si>
  <si>
    <t>Hectd4</t>
  </si>
  <si>
    <t>Hecw2</t>
  </si>
  <si>
    <t>Hipk3</t>
  </si>
  <si>
    <t>Hnrnph1</t>
  </si>
  <si>
    <t>Hnrnpl</t>
  </si>
  <si>
    <t>Hnrnpu</t>
  </si>
  <si>
    <t>Homer1</t>
  </si>
  <si>
    <t>Hprt</t>
  </si>
  <si>
    <t>Hs2st1</t>
  </si>
  <si>
    <t>Hs6st3</t>
  </si>
  <si>
    <t>Hsp90aa1</t>
  </si>
  <si>
    <t>Hsp90ab1</t>
  </si>
  <si>
    <t>Hunk</t>
  </si>
  <si>
    <t>Ica1</t>
  </si>
  <si>
    <t>Ier2</t>
  </si>
  <si>
    <t>Iffo1</t>
  </si>
  <si>
    <t>Ifrd1</t>
  </si>
  <si>
    <t>Igfn1</t>
  </si>
  <si>
    <t>Ina</t>
  </si>
  <si>
    <t>Ino80</t>
  </si>
  <si>
    <t>Iqsec1</t>
  </si>
  <si>
    <t>Itga8</t>
  </si>
  <si>
    <t>Itgav</t>
  </si>
  <si>
    <t>Itm2b</t>
  </si>
  <si>
    <t>Jag2</t>
  </si>
  <si>
    <t>Jakmip1</t>
  </si>
  <si>
    <t>Jakmip2</t>
  </si>
  <si>
    <t>Jakmip3</t>
  </si>
  <si>
    <t>Junb</t>
  </si>
  <si>
    <t>Kalrn</t>
  </si>
  <si>
    <t>Kat6b</t>
  </si>
  <si>
    <t>Kcnd2</t>
  </si>
  <si>
    <t>Kcnh1</t>
  </si>
  <si>
    <t>Kcnh7</t>
  </si>
  <si>
    <t>Kcnma1</t>
  </si>
  <si>
    <t>Khdrbs2</t>
  </si>
  <si>
    <t>Klf10</t>
  </si>
  <si>
    <t>Klhl29</t>
  </si>
  <si>
    <t>Kmt2a</t>
  </si>
  <si>
    <t>Ksr2</t>
  </si>
  <si>
    <t>Ktn1</t>
  </si>
  <si>
    <t>Lars2</t>
  </si>
  <si>
    <t>Ldb2</t>
  </si>
  <si>
    <t>Ldlr</t>
  </si>
  <si>
    <t>Lepr</t>
  </si>
  <si>
    <t>Lgi2</t>
  </si>
  <si>
    <t>Lingo1</t>
  </si>
  <si>
    <t>Lmo4</t>
  </si>
  <si>
    <t>Lmtk2</t>
  </si>
  <si>
    <t>Lncpint</t>
  </si>
  <si>
    <t>Lrp1b</t>
  </si>
  <si>
    <t>Lrp8os2</t>
  </si>
  <si>
    <t>Lrrc8b</t>
  </si>
  <si>
    <t>Lrrfip2</t>
  </si>
  <si>
    <t>Lrrtm4</t>
  </si>
  <si>
    <t>Luc7l3</t>
  </si>
  <si>
    <t>Ly6h</t>
  </si>
  <si>
    <t>Macf1</t>
  </si>
  <si>
    <t>Macrod2</t>
  </si>
  <si>
    <t>Macrod2os1</t>
  </si>
  <si>
    <t>Madd</t>
  </si>
  <si>
    <t>Magi2</t>
  </si>
  <si>
    <t>Map1b</t>
  </si>
  <si>
    <t>Map3k5</t>
  </si>
  <si>
    <t>Mapkapk2</t>
  </si>
  <si>
    <t>Mapt</t>
  </si>
  <si>
    <t>Mark1</t>
  </si>
  <si>
    <t>Mast3</t>
  </si>
  <si>
    <t>Mast4</t>
  </si>
  <si>
    <t>Matn2</t>
  </si>
  <si>
    <t>Mdh2</t>
  </si>
  <si>
    <t>Meg3</t>
  </si>
  <si>
    <t>Meis2</t>
  </si>
  <si>
    <t>Mfsd4a</t>
  </si>
  <si>
    <t>Miat</t>
  </si>
  <si>
    <t>Mical3</t>
  </si>
  <si>
    <t>Mif</t>
  </si>
  <si>
    <t>Mir6236</t>
  </si>
  <si>
    <t>Mir9-3hg</t>
  </si>
  <si>
    <t>Mkln1os</t>
  </si>
  <si>
    <t>Mkx</t>
  </si>
  <si>
    <t>Mlip</t>
  </si>
  <si>
    <t>Mms19</t>
  </si>
  <si>
    <t>Mrtfa</t>
  </si>
  <si>
    <t>mt-Co2</t>
  </si>
  <si>
    <t>mt-Rnr1</t>
  </si>
  <si>
    <t>Mt3</t>
  </si>
  <si>
    <t>Mtcl1</t>
  </si>
  <si>
    <t>Mthfr</t>
  </si>
  <si>
    <t>Mtmr12</t>
  </si>
  <si>
    <t>Mtus2</t>
  </si>
  <si>
    <t>Myo16</t>
  </si>
  <si>
    <t>Myo1b</t>
  </si>
  <si>
    <t>Myt1l</t>
  </si>
  <si>
    <t>Nagk</t>
  </si>
  <si>
    <t>Nalf1</t>
  </si>
  <si>
    <t>Nav2</t>
  </si>
  <si>
    <t>Ncapd3</t>
  </si>
  <si>
    <t>Ncoa2</t>
  </si>
  <si>
    <t>Ncoa7</t>
  </si>
  <si>
    <t>Ndst3</t>
  </si>
  <si>
    <t>Ndufa11</t>
  </si>
  <si>
    <t>Ndufa13</t>
  </si>
  <si>
    <t>Ndufa4</t>
  </si>
  <si>
    <t>Ndufa7</t>
  </si>
  <si>
    <t>Ndufa8</t>
  </si>
  <si>
    <t>Ndufab1</t>
  </si>
  <si>
    <t>Ndufb10</t>
  </si>
  <si>
    <t>Ndufb11</t>
  </si>
  <si>
    <t>Ndufb3</t>
  </si>
  <si>
    <t>Ndufb7</t>
  </si>
  <si>
    <t>Ndufb9</t>
  </si>
  <si>
    <t>Ndufc2</t>
  </si>
  <si>
    <t>Ndufs7</t>
  </si>
  <si>
    <t>Necab3</t>
  </si>
  <si>
    <t>Nell1</t>
  </si>
  <si>
    <t>Nell1os</t>
  </si>
  <si>
    <t>Nfasc</t>
  </si>
  <si>
    <t>Ngef</t>
  </si>
  <si>
    <t>Nin</t>
  </si>
  <si>
    <t>Nipa1</t>
  </si>
  <si>
    <t>Nkain3</t>
  </si>
  <si>
    <t>Nlk</t>
  </si>
  <si>
    <t>Nln</t>
  </si>
  <si>
    <t>Nme1</t>
  </si>
  <si>
    <t>Npas2</t>
  </si>
  <si>
    <t>Npas4</t>
  </si>
  <si>
    <t>Nploc4</t>
  </si>
  <si>
    <t>Npy</t>
  </si>
  <si>
    <t>Nr4a3</t>
  </si>
  <si>
    <t>Nrep</t>
  </si>
  <si>
    <t>Nrg3os</t>
  </si>
  <si>
    <t>Nrgn</t>
  </si>
  <si>
    <t>Nrxn2</t>
  </si>
  <si>
    <t>Nsd3</t>
  </si>
  <si>
    <t>Nsmf</t>
  </si>
  <si>
    <t>Nt5c2</t>
  </si>
  <si>
    <t>Ntng2</t>
  </si>
  <si>
    <t>Numb</t>
  </si>
  <si>
    <t>Nvl</t>
  </si>
  <si>
    <t>Nwd2</t>
  </si>
  <si>
    <t>Odf2</t>
  </si>
  <si>
    <t>Ogt</t>
  </si>
  <si>
    <t>Osbp2</t>
  </si>
  <si>
    <t>Osbpl10</t>
  </si>
  <si>
    <t>Oxct1</t>
  </si>
  <si>
    <t>P4ha1</t>
  </si>
  <si>
    <t>Pacsin1</t>
  </si>
  <si>
    <t>Pak5</t>
  </si>
  <si>
    <t>Pak6</t>
  </si>
  <si>
    <t>Palm</t>
  </si>
  <si>
    <t>Pamr1</t>
  </si>
  <si>
    <t>Parp8</t>
  </si>
  <si>
    <t>Pcdh7</t>
  </si>
  <si>
    <t>Pcnx2</t>
  </si>
  <si>
    <t>Pcsk1n</t>
  </si>
  <si>
    <t>Pcsk7</t>
  </si>
  <si>
    <t>Pde10a</t>
  </si>
  <si>
    <t>Pde8b</t>
  </si>
  <si>
    <t>Pdgfc</t>
  </si>
  <si>
    <t>Pdlim7</t>
  </si>
  <si>
    <t>Pdp1</t>
  </si>
  <si>
    <t>Pdxdc1</t>
  </si>
  <si>
    <t>Pdzrn3</t>
  </si>
  <si>
    <t>Pebp1</t>
  </si>
  <si>
    <t>Pfdn5</t>
  </si>
  <si>
    <t>Pgam1</t>
  </si>
  <si>
    <t>Phactr1</t>
  </si>
  <si>
    <t>Phactr3</t>
  </si>
  <si>
    <t>Phc2</t>
  </si>
  <si>
    <t>Phka2</t>
  </si>
  <si>
    <t>Pip4k2a</t>
  </si>
  <si>
    <t>Pip5k1a</t>
  </si>
  <si>
    <t>Pip5k1b</t>
  </si>
  <si>
    <t>Pla2g3</t>
  </si>
  <si>
    <t>Pla2g4e</t>
  </si>
  <si>
    <t>Plcb1</t>
  </si>
  <si>
    <t>Plec</t>
  </si>
  <si>
    <t>Plekha5</t>
  </si>
  <si>
    <t>Plekha7</t>
  </si>
  <si>
    <t>Plekhg5</t>
  </si>
  <si>
    <t>Plekhm2</t>
  </si>
  <si>
    <t>Plxdc2</t>
  </si>
  <si>
    <t>Pnpla3</t>
  </si>
  <si>
    <t>Pou2f2</t>
  </si>
  <si>
    <t>Pou6f2</t>
  </si>
  <si>
    <t>Ppfia3</t>
  </si>
  <si>
    <t>Ppfibp1</t>
  </si>
  <si>
    <t>Ppia</t>
  </si>
  <si>
    <t>Ppm1l</t>
  </si>
  <si>
    <t>Ppp1r13b</t>
  </si>
  <si>
    <t>Ppp1r16b</t>
  </si>
  <si>
    <t>Ppp1r1a</t>
  </si>
  <si>
    <t>Ppp1r9a</t>
  </si>
  <si>
    <t>Ppp4r1</t>
  </si>
  <si>
    <t>Prdx1</t>
  </si>
  <si>
    <t>Prickle1</t>
  </si>
  <si>
    <t>Prkg1</t>
  </si>
  <si>
    <t>Prmt8</t>
  </si>
  <si>
    <t>Prox2</t>
  </si>
  <si>
    <t>Prpf4b</t>
  </si>
  <si>
    <t>Prr16</t>
  </si>
  <si>
    <t>Pter</t>
  </si>
  <si>
    <t>Pth2r</t>
  </si>
  <si>
    <t>Ptms</t>
  </si>
  <si>
    <t>Ptpn12</t>
  </si>
  <si>
    <t>Ptpn3</t>
  </si>
  <si>
    <t>Ptprj</t>
  </si>
  <si>
    <t>Ptprn2</t>
  </si>
  <si>
    <t>Ptprs</t>
  </si>
  <si>
    <t>R3hdm1</t>
  </si>
  <si>
    <t>R3hdm2</t>
  </si>
  <si>
    <t>Rab3a</t>
  </si>
  <si>
    <t>Rab3gap2</t>
  </si>
  <si>
    <t>Rab6b</t>
  </si>
  <si>
    <t>Rad51ap2</t>
  </si>
  <si>
    <t>Rai1</t>
  </si>
  <si>
    <t>Rapgef5</t>
  </si>
  <si>
    <t>Rasa2</t>
  </si>
  <si>
    <t>Rasgef1b</t>
  </si>
  <si>
    <t>Rasgef1c</t>
  </si>
  <si>
    <t>Rasl10a</t>
  </si>
  <si>
    <t>Rassf3</t>
  </si>
  <si>
    <t>Rbm26</t>
  </si>
  <si>
    <t>Rbms1</t>
  </si>
  <si>
    <t>Rcor3</t>
  </si>
  <si>
    <t>Reep1</t>
  </si>
  <si>
    <t>Rgs7</t>
  </si>
  <si>
    <t>Rhou</t>
  </si>
  <si>
    <t>Rn18s-rs5</t>
  </si>
  <si>
    <t>Rnf157</t>
  </si>
  <si>
    <t>Rnf38</t>
  </si>
  <si>
    <t>Rnf8</t>
  </si>
  <si>
    <t>Rnpc3</t>
  </si>
  <si>
    <t>Rnps1</t>
  </si>
  <si>
    <t>Rpl10</t>
  </si>
  <si>
    <t>Rpl11</t>
  </si>
  <si>
    <t>Rpl13</t>
  </si>
  <si>
    <t>Rpl14</t>
  </si>
  <si>
    <t>Rpl18a</t>
  </si>
  <si>
    <t>Rpl19</t>
  </si>
  <si>
    <t>Rpl21</t>
  </si>
  <si>
    <t>Rpl23</t>
  </si>
  <si>
    <t>Rpl23a</t>
  </si>
  <si>
    <t>Rpl24</t>
  </si>
  <si>
    <t>Rpl26</t>
  </si>
  <si>
    <t>Rpl28</t>
  </si>
  <si>
    <t>Rpl3</t>
  </si>
  <si>
    <t>Rpl30</t>
  </si>
  <si>
    <t>Rpl32</t>
  </si>
  <si>
    <t>Rpl34</t>
  </si>
  <si>
    <t>Rpl36a</t>
  </si>
  <si>
    <t>Rpl36al</t>
  </si>
  <si>
    <t>Rpl7</t>
  </si>
  <si>
    <t>Rpl8</t>
  </si>
  <si>
    <t>Rpl9</t>
  </si>
  <si>
    <t>Rplp2</t>
  </si>
  <si>
    <t>Rps10</t>
  </si>
  <si>
    <t>Rps11</t>
  </si>
  <si>
    <t>Rps14</t>
  </si>
  <si>
    <t>Rps15a</t>
  </si>
  <si>
    <t>Rps2</t>
  </si>
  <si>
    <t>Rps23</t>
  </si>
  <si>
    <t>Rps24</t>
  </si>
  <si>
    <t>Rps25</t>
  </si>
  <si>
    <t>Rps26</t>
  </si>
  <si>
    <t>Rps27a</t>
  </si>
  <si>
    <t>Rps3</t>
  </si>
  <si>
    <t>Rps3a1</t>
  </si>
  <si>
    <t>Rps4x</t>
  </si>
  <si>
    <t>Rps6kl1</t>
  </si>
  <si>
    <t>Rps7</t>
  </si>
  <si>
    <t>Rps9</t>
  </si>
  <si>
    <t>Rras2</t>
  </si>
  <si>
    <t>Rspo2</t>
  </si>
  <si>
    <t>Rtl8a</t>
  </si>
  <si>
    <t>Rtn1</t>
  </si>
  <si>
    <t>Rtn4rl2</t>
  </si>
  <si>
    <t>S100a6</t>
  </si>
  <si>
    <t>Scn1a</t>
  </si>
  <si>
    <t>Scoc</t>
  </si>
  <si>
    <t>Scube1</t>
  </si>
  <si>
    <t>Scyl2</t>
  </si>
  <si>
    <t>Sdk2</t>
  </si>
  <si>
    <t>Sec14l1</t>
  </si>
  <si>
    <t>Sel1l3</t>
  </si>
  <si>
    <t>Sema6d</t>
  </si>
  <si>
    <t>Serinc1</t>
  </si>
  <si>
    <t>Setd2</t>
  </si>
  <si>
    <t>Setd4</t>
  </si>
  <si>
    <t>Setd7</t>
  </si>
  <si>
    <t>Sh3bgrl3</t>
  </si>
  <si>
    <t>Sh3pxd2a</t>
  </si>
  <si>
    <t>Shisa4</t>
  </si>
  <si>
    <t>Sipa1l2</t>
  </si>
  <si>
    <t>Skap1</t>
  </si>
  <si>
    <t>Slc16a7</t>
  </si>
  <si>
    <t>Slc25a4</t>
  </si>
  <si>
    <t>Slc2a13</t>
  </si>
  <si>
    <t>Slc35f4</t>
  </si>
  <si>
    <t>Slc44a1</t>
  </si>
  <si>
    <t>Slc4a4</t>
  </si>
  <si>
    <t>Slc6a6</t>
  </si>
  <si>
    <t>Slc7a1</t>
  </si>
  <si>
    <t>Slc7a5</t>
  </si>
  <si>
    <t>Slc9a9</t>
  </si>
  <si>
    <t>Slco2a1</t>
  </si>
  <si>
    <t>Slit2</t>
  </si>
  <si>
    <t>Slitrk5</t>
  </si>
  <si>
    <t>Smad7</t>
  </si>
  <si>
    <t>Smurf1</t>
  </si>
  <si>
    <t>Sncb</t>
  </si>
  <si>
    <t>Snhg11</t>
  </si>
  <si>
    <t>Snhg20</t>
  </si>
  <si>
    <t>Snrnp70</t>
  </si>
  <si>
    <t>Snrpd2</t>
  </si>
  <si>
    <t>Snrpn</t>
  </si>
  <si>
    <t>Snx18</t>
  </si>
  <si>
    <t>Sorbs2</t>
  </si>
  <si>
    <t>Spcs1</t>
  </si>
  <si>
    <t>Spock1</t>
  </si>
  <si>
    <t>Spred1</t>
  </si>
  <si>
    <t>Srcin1</t>
  </si>
  <si>
    <t>Srsf7</t>
  </si>
  <si>
    <t>Sst</t>
  </si>
  <si>
    <t>St3gal5</t>
  </si>
  <si>
    <t>St6galnac3</t>
  </si>
  <si>
    <t>Stk40</t>
  </si>
  <si>
    <t>Stmn1</t>
  </si>
  <si>
    <t>Stmn2</t>
  </si>
  <si>
    <t>Stmn3</t>
  </si>
  <si>
    <t>Stx16</t>
  </si>
  <si>
    <t>Stx3</t>
  </si>
  <si>
    <t>Sun1</t>
  </si>
  <si>
    <t>Syndig1</t>
  </si>
  <si>
    <t>Syt7</t>
  </si>
  <si>
    <t>Tada3</t>
  </si>
  <si>
    <t>Tbc1d30</t>
  </si>
  <si>
    <t>Tceal3</t>
  </si>
  <si>
    <t>Tecpr1</t>
  </si>
  <si>
    <t>Thra</t>
  </si>
  <si>
    <t>Tmem132b</t>
  </si>
  <si>
    <t>Tmem132d</t>
  </si>
  <si>
    <t>Tmem178b</t>
  </si>
  <si>
    <t>Tmem184b</t>
  </si>
  <si>
    <t>Tmem229b</t>
  </si>
  <si>
    <t>Tmem74b</t>
  </si>
  <si>
    <t>Tmod1</t>
  </si>
  <si>
    <t>Tmsb4x</t>
  </si>
  <si>
    <t>Tmtc1</t>
  </si>
  <si>
    <t>Tnfrsf11a</t>
  </si>
  <si>
    <t>Tnik</t>
  </si>
  <si>
    <t>Tnr</t>
  </si>
  <si>
    <t>Tnrc6c</t>
  </si>
  <si>
    <t>Tom1l2</t>
  </si>
  <si>
    <t>Tpt1</t>
  </si>
  <si>
    <t>Trank1</t>
  </si>
  <si>
    <t>Trhde</t>
  </si>
  <si>
    <t>Trim35</t>
  </si>
  <si>
    <t>Trio</t>
  </si>
  <si>
    <t>Trp53bp1</t>
  </si>
  <si>
    <t>Trpm4</t>
  </si>
  <si>
    <t>Trps1</t>
  </si>
  <si>
    <t>Tspan5</t>
  </si>
  <si>
    <t>Tspoap1</t>
  </si>
  <si>
    <t>Tspyl4</t>
  </si>
  <si>
    <t>Ttc7b</t>
  </si>
  <si>
    <t>Tuba1a</t>
  </si>
  <si>
    <t>Tuba1b</t>
  </si>
  <si>
    <t>Tubb5</t>
  </si>
  <si>
    <t>Tulp3</t>
  </si>
  <si>
    <t>Ubb</t>
  </si>
  <si>
    <t>Ube2o</t>
  </si>
  <si>
    <t>Ube2ql1</t>
  </si>
  <si>
    <t>Uck2</t>
  </si>
  <si>
    <t>Unc45a</t>
  </si>
  <si>
    <t>Unc5d</t>
  </si>
  <si>
    <t>Upp2</t>
  </si>
  <si>
    <t>Uqcr11</t>
  </si>
  <si>
    <t>Uqcrb</t>
  </si>
  <si>
    <t>Uqcrfs1</t>
  </si>
  <si>
    <t>Usp28</t>
  </si>
  <si>
    <t>Usp43</t>
  </si>
  <si>
    <t>Uvrag</t>
  </si>
  <si>
    <t>Vash1</t>
  </si>
  <si>
    <t>Vdac2</t>
  </si>
  <si>
    <t>Vgll4</t>
  </si>
  <si>
    <t>Vps28</t>
  </si>
  <si>
    <t>Vps37d</t>
  </si>
  <si>
    <t>Wdfy3</t>
  </si>
  <si>
    <t>Wnk2</t>
  </si>
  <si>
    <t>Wnt9a</t>
  </si>
  <si>
    <t>Xkr6</t>
  </si>
  <si>
    <t>Xkr7</t>
  </si>
  <si>
    <t>Xlr3b</t>
  </si>
  <si>
    <t>Xylt1</t>
  </si>
  <si>
    <t>Ywhab</t>
  </si>
  <si>
    <t>Ywhag</t>
  </si>
  <si>
    <t>Zbtb16</t>
  </si>
  <si>
    <t>Zdhhc18</t>
  </si>
  <si>
    <t>Zdhhc8</t>
  </si>
  <si>
    <t>Zfp335os</t>
  </si>
  <si>
    <t>Zfp362</t>
  </si>
  <si>
    <t>Zfp385b</t>
  </si>
  <si>
    <t>Zfp407</t>
  </si>
  <si>
    <t>Zfp46</t>
  </si>
  <si>
    <t>Zfp523</t>
  </si>
  <si>
    <t>Zfp804b</t>
  </si>
  <si>
    <t>Zfp973</t>
  </si>
  <si>
    <t>Zfyve28</t>
  </si>
  <si>
    <t>Zranb2</t>
  </si>
  <si>
    <t>Atp5d</t>
  </si>
  <si>
    <t>Bag1</t>
  </si>
  <si>
    <t>Hspa8</t>
  </si>
  <si>
    <t>Naca</t>
  </si>
  <si>
    <t>Nap1l5</t>
  </si>
  <si>
    <t>Nme7</t>
  </si>
  <si>
    <t>Npm1</t>
  </si>
  <si>
    <t>Psmb6</t>
  </si>
  <si>
    <t>Rnf227</t>
  </si>
  <si>
    <t>Tubb2a</t>
  </si>
  <si>
    <t>Rbfox1</t>
  </si>
  <si>
    <t>Celf2</t>
  </si>
  <si>
    <t>Cox6a1</t>
  </si>
  <si>
    <t>Scd2</t>
  </si>
  <si>
    <t>Tmeff2</t>
  </si>
  <si>
    <t>genes</t>
    <phoneticPr fontId="1" type="noConversion"/>
  </si>
  <si>
    <t>hit in 835 database(UP)</t>
    <phoneticPr fontId="1" type="noConversion"/>
  </si>
  <si>
    <t>hit in 835 database(DOWN)</t>
    <phoneticPr fontId="1" type="noConversion"/>
  </si>
  <si>
    <t>hit in 702 database</t>
    <phoneticPr fontId="1" type="noConversion"/>
  </si>
  <si>
    <t>Total hits</t>
    <phoneticPr fontId="1" type="noConversion"/>
  </si>
  <si>
    <t>hit in pbio cortex database</t>
    <phoneticPr fontId="1" type="noConversion"/>
  </si>
  <si>
    <t>hit in pbio liver database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</si>
</sst>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ZZY\snRNAseq_analysis\20230309-analysis\%235-DEG%20-%20no%20FC%20filtered\results\sleep_genes\13041_2021_835_MOESM2_ESM.xlsx" TargetMode="External"/><Relationship Id="rId1" Type="http://schemas.openxmlformats.org/officeDocument/2006/relationships/externalLinkPath" Target="13041_2021_835_MOESM2_ES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13041_2020_702_MOESM2_ESM.xlsx" TargetMode="External"/><Relationship Id="rId1" Type="http://schemas.openxmlformats.org/officeDocument/2006/relationships/externalLinkPath" Target="file:///C:\Users\admin\Downloads\13041_2020_702_MOESM2_ES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ZZY\snRNAseq_analysis\20230309-analysis\%235-DEG%20-%20no%20FC%20filtered\results\sleep_genes\pbio.2005750.s009.xlsx" TargetMode="External"/><Relationship Id="rId1" Type="http://schemas.openxmlformats.org/officeDocument/2006/relationships/externalLinkPath" Target="pbio.2005750.s009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ZZY\snRNAseq_analysis\20230309-analysis\%235-DEG%20-%20no%20FC%20filtered\results\sleep_genes\pbio.2005750.s010.xlsx" TargetMode="External"/><Relationship Id="rId1" Type="http://schemas.openxmlformats.org/officeDocument/2006/relationships/externalLinkPath" Target="pbio.2005750.s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 Table S1"/>
      <sheetName val="Table S2"/>
      <sheetName val="Table S3"/>
      <sheetName val="Table S4"/>
      <sheetName val="Table S5"/>
      <sheetName val="Table S6"/>
      <sheetName val="Table S7"/>
      <sheetName val="Table S8"/>
      <sheetName val="Table S9"/>
      <sheetName val="Table S10"/>
      <sheetName val="Table S11"/>
      <sheetName val="Table S12"/>
      <sheetName val="Table S13"/>
      <sheetName val="Table S14"/>
    </sheetNames>
    <sheetDataSet>
      <sheetData sheetId="0"/>
      <sheetData sheetId="1"/>
      <sheetData sheetId="2">
        <row r="3">
          <cell r="B3" t="str">
            <v>Upf2</v>
          </cell>
        </row>
        <row r="4">
          <cell r="B4" t="str">
            <v>Tra2a</v>
          </cell>
        </row>
        <row r="5">
          <cell r="B5" t="str">
            <v>Htr1a</v>
          </cell>
        </row>
        <row r="6">
          <cell r="B6" t="str">
            <v>Nfya</v>
          </cell>
        </row>
        <row r="7">
          <cell r="B7" t="str">
            <v>Dusp5</v>
          </cell>
        </row>
        <row r="8">
          <cell r="B8" t="str">
            <v>Washc4</v>
          </cell>
        </row>
        <row r="9">
          <cell r="B9" t="str">
            <v>Tef</v>
          </cell>
        </row>
        <row r="10">
          <cell r="B10" t="str">
            <v>Prkab2</v>
          </cell>
        </row>
        <row r="11">
          <cell r="B11" t="str">
            <v>Cdc7</v>
          </cell>
        </row>
        <row r="12">
          <cell r="B12" t="str">
            <v>Zmym1</v>
          </cell>
        </row>
        <row r="13">
          <cell r="B13" t="str">
            <v>Dusp6</v>
          </cell>
        </row>
        <row r="14">
          <cell r="B14" t="str">
            <v>Clk1</v>
          </cell>
        </row>
        <row r="15">
          <cell r="B15" t="str">
            <v>Tsc22d3</v>
          </cell>
        </row>
        <row r="16">
          <cell r="B16" t="str">
            <v>Cys1</v>
          </cell>
        </row>
        <row r="17">
          <cell r="B17" t="str">
            <v>Paqr8</v>
          </cell>
        </row>
        <row r="18">
          <cell r="B18" t="str">
            <v>P4ha1</v>
          </cell>
        </row>
        <row r="19">
          <cell r="B19" t="str">
            <v>Pdrg1</v>
          </cell>
        </row>
        <row r="20">
          <cell r="B20" t="str">
            <v>Kpna4</v>
          </cell>
        </row>
        <row r="21">
          <cell r="B21" t="str">
            <v>Srsf7</v>
          </cell>
        </row>
        <row r="22">
          <cell r="B22" t="str">
            <v>Tnfrsf25</v>
          </cell>
        </row>
        <row r="23">
          <cell r="B23" t="str">
            <v>Narf</v>
          </cell>
        </row>
        <row r="24">
          <cell r="B24" t="str">
            <v>Stc2</v>
          </cell>
        </row>
        <row r="25">
          <cell r="B25" t="str">
            <v>Amd1</v>
          </cell>
        </row>
        <row r="26">
          <cell r="B26" t="str">
            <v>Ptcd1</v>
          </cell>
        </row>
        <row r="27">
          <cell r="B27" t="str">
            <v>Dnajc28</v>
          </cell>
        </row>
        <row r="28">
          <cell r="B28" t="str">
            <v>Dok3</v>
          </cell>
        </row>
        <row r="29">
          <cell r="B29" t="str">
            <v>Med20</v>
          </cell>
        </row>
        <row r="30">
          <cell r="B30" t="str">
            <v>Rab8b</v>
          </cell>
        </row>
        <row r="31">
          <cell r="B31" t="str">
            <v>Klhl7</v>
          </cell>
        </row>
        <row r="32">
          <cell r="B32" t="str">
            <v>Spred1</v>
          </cell>
        </row>
        <row r="33">
          <cell r="B33" t="str">
            <v>Ypel5</v>
          </cell>
        </row>
        <row r="34">
          <cell r="B34" t="str">
            <v>Lrrc57</v>
          </cell>
        </row>
        <row r="35">
          <cell r="B35" t="str">
            <v>Banp</v>
          </cell>
        </row>
        <row r="36">
          <cell r="B36" t="str">
            <v>Ackr3</v>
          </cell>
        </row>
        <row r="37">
          <cell r="B37" t="str">
            <v>Slc44a5</v>
          </cell>
        </row>
        <row r="38">
          <cell r="B38" t="str">
            <v>Nfil3</v>
          </cell>
        </row>
        <row r="39">
          <cell r="B39" t="str">
            <v>Crcp</v>
          </cell>
        </row>
        <row r="40">
          <cell r="B40" t="str">
            <v>Dnajb1</v>
          </cell>
        </row>
        <row r="41">
          <cell r="B41" t="str">
            <v>Lpin2</v>
          </cell>
        </row>
        <row r="42">
          <cell r="B42" t="str">
            <v>D130043K22Rik</v>
          </cell>
        </row>
        <row r="43">
          <cell r="B43" t="str">
            <v>Uhrf2</v>
          </cell>
        </row>
        <row r="44">
          <cell r="B44" t="str">
            <v>Emc3</v>
          </cell>
        </row>
        <row r="45">
          <cell r="B45" t="str">
            <v>Cdkn1b</v>
          </cell>
        </row>
        <row r="46">
          <cell r="B46" t="str">
            <v>Slc25a38</v>
          </cell>
        </row>
        <row r="47">
          <cell r="B47" t="str">
            <v>Rasl10a</v>
          </cell>
        </row>
        <row r="48">
          <cell r="B48" t="str">
            <v>A330023F24Rik</v>
          </cell>
        </row>
        <row r="49">
          <cell r="B49" t="str">
            <v>Glt8d2</v>
          </cell>
        </row>
        <row r="50">
          <cell r="B50" t="str">
            <v>Trmt1l</v>
          </cell>
        </row>
        <row r="51">
          <cell r="B51" t="str">
            <v>Ccdc117</v>
          </cell>
        </row>
        <row r="52">
          <cell r="B52" t="str">
            <v>Rbbp5</v>
          </cell>
        </row>
        <row r="53">
          <cell r="B53" t="str">
            <v>Kdm7a</v>
          </cell>
        </row>
        <row r="54">
          <cell r="B54" t="str">
            <v>Adam8</v>
          </cell>
        </row>
        <row r="55">
          <cell r="B55" t="str">
            <v>Ccdc71l</v>
          </cell>
        </row>
        <row r="56">
          <cell r="B56" t="str">
            <v>Fubp1</v>
          </cell>
        </row>
        <row r="57">
          <cell r="B57" t="str">
            <v>Trove2</v>
          </cell>
        </row>
        <row r="58">
          <cell r="B58" t="str">
            <v>Fndc8</v>
          </cell>
        </row>
        <row r="59">
          <cell r="B59" t="str">
            <v>Elk1</v>
          </cell>
        </row>
        <row r="60">
          <cell r="B60" t="str">
            <v>Luc7l</v>
          </cell>
        </row>
        <row r="61">
          <cell r="B61" t="str">
            <v>Vps39</v>
          </cell>
        </row>
        <row r="62">
          <cell r="B62" t="str">
            <v>Snrk</v>
          </cell>
        </row>
        <row r="63">
          <cell r="B63" t="str">
            <v>Oprl1</v>
          </cell>
        </row>
        <row r="64">
          <cell r="B64" t="str">
            <v>Smg1</v>
          </cell>
        </row>
        <row r="65">
          <cell r="B65" t="str">
            <v>0610037L13Rik</v>
          </cell>
        </row>
        <row r="66">
          <cell r="B66" t="str">
            <v>Srbd1</v>
          </cell>
        </row>
        <row r="67">
          <cell r="B67" t="str">
            <v>Zfp874b</v>
          </cell>
        </row>
        <row r="68">
          <cell r="B68" t="str">
            <v>Wdcp</v>
          </cell>
        </row>
        <row r="69">
          <cell r="B69" t="str">
            <v>Slc39a2</v>
          </cell>
        </row>
        <row r="70">
          <cell r="B70" t="str">
            <v>2810006K23Rik</v>
          </cell>
        </row>
        <row r="71">
          <cell r="B71" t="str">
            <v>Creg2</v>
          </cell>
        </row>
        <row r="72">
          <cell r="B72" t="str">
            <v>1700123O20Rik</v>
          </cell>
        </row>
        <row r="73">
          <cell r="B73" t="str">
            <v>Rps28</v>
          </cell>
        </row>
        <row r="74">
          <cell r="B74" t="str">
            <v>Neurl1b</v>
          </cell>
        </row>
        <row r="75">
          <cell r="B75" t="str">
            <v>Adal</v>
          </cell>
        </row>
        <row r="76">
          <cell r="B76" t="str">
            <v>Irf3</v>
          </cell>
        </row>
        <row r="77">
          <cell r="B77" t="str">
            <v>Anks3</v>
          </cell>
        </row>
        <row r="78">
          <cell r="B78" t="str">
            <v>Mmaa</v>
          </cell>
        </row>
        <row r="79">
          <cell r="B79" t="str">
            <v>Rmnd5a</v>
          </cell>
        </row>
        <row r="80">
          <cell r="B80" t="str">
            <v>Sesn1</v>
          </cell>
        </row>
        <row r="81">
          <cell r="B81" t="str">
            <v>Dnase1l2</v>
          </cell>
        </row>
        <row r="82">
          <cell r="B82" t="str">
            <v>Crkl</v>
          </cell>
        </row>
        <row r="83">
          <cell r="B83" t="str">
            <v>Edrf1</v>
          </cell>
        </row>
        <row r="84">
          <cell r="B84" t="str">
            <v>Lifr</v>
          </cell>
        </row>
        <row r="85">
          <cell r="B85" t="str">
            <v>Gpt2</v>
          </cell>
        </row>
        <row r="86">
          <cell r="B86" t="str">
            <v>Ccnl2</v>
          </cell>
        </row>
        <row r="87">
          <cell r="B87" t="str">
            <v>Arid4a</v>
          </cell>
        </row>
        <row r="88">
          <cell r="B88" t="str">
            <v>Gpr17</v>
          </cell>
        </row>
        <row r="89">
          <cell r="B89" t="str">
            <v>Srsf10</v>
          </cell>
        </row>
        <row r="90">
          <cell r="B90" t="str">
            <v>Lrch3</v>
          </cell>
        </row>
        <row r="91">
          <cell r="B91" t="str">
            <v>Abhd8</v>
          </cell>
        </row>
        <row r="92">
          <cell r="B92" t="str">
            <v>Hjurp</v>
          </cell>
        </row>
        <row r="93">
          <cell r="B93" t="str">
            <v>Atg12</v>
          </cell>
        </row>
        <row r="94">
          <cell r="B94" t="str">
            <v>Nadk</v>
          </cell>
        </row>
        <row r="95">
          <cell r="B95" t="str">
            <v>2410131K14Rik</v>
          </cell>
        </row>
        <row r="96">
          <cell r="B96" t="str">
            <v>Gm44742</v>
          </cell>
        </row>
        <row r="97">
          <cell r="B97" t="str">
            <v>Zswim3</v>
          </cell>
        </row>
        <row r="98">
          <cell r="B98" t="str">
            <v>Lurap1l</v>
          </cell>
        </row>
        <row r="99">
          <cell r="B99" t="str">
            <v>Gm45819</v>
          </cell>
        </row>
        <row r="100">
          <cell r="B100" t="str">
            <v>Sox11</v>
          </cell>
        </row>
        <row r="101">
          <cell r="B101" t="str">
            <v>Per2</v>
          </cell>
        </row>
        <row r="102">
          <cell r="B102" t="str">
            <v>Mettl16</v>
          </cell>
        </row>
        <row r="103">
          <cell r="B103" t="str">
            <v>B230354K17Rik</v>
          </cell>
        </row>
        <row r="104">
          <cell r="B104" t="str">
            <v>Rmnd1</v>
          </cell>
        </row>
        <row r="105">
          <cell r="B105" t="str">
            <v>Rundc1</v>
          </cell>
        </row>
        <row r="106">
          <cell r="B106" t="str">
            <v>Ankrd10</v>
          </cell>
        </row>
        <row r="107">
          <cell r="B107" t="str">
            <v>Wdr82</v>
          </cell>
        </row>
        <row r="108">
          <cell r="B108" t="str">
            <v>Mtrr</v>
          </cell>
        </row>
        <row r="109">
          <cell r="B109" t="str">
            <v>Trnt1</v>
          </cell>
        </row>
        <row r="110">
          <cell r="B110" t="str">
            <v>Gpr68</v>
          </cell>
        </row>
        <row r="111">
          <cell r="B111" t="str">
            <v>Kmt5a</v>
          </cell>
        </row>
        <row r="112">
          <cell r="B112" t="str">
            <v>Myo1h</v>
          </cell>
        </row>
        <row r="113">
          <cell r="B113" t="str">
            <v>Ints8</v>
          </cell>
        </row>
        <row r="114">
          <cell r="B114" t="str">
            <v>Pid1</v>
          </cell>
        </row>
        <row r="115">
          <cell r="B115" t="str">
            <v>Pdp1</v>
          </cell>
        </row>
        <row r="116">
          <cell r="B116" t="str">
            <v>Cfp</v>
          </cell>
        </row>
        <row r="117">
          <cell r="B117" t="str">
            <v>Map1lc3b</v>
          </cell>
        </row>
        <row r="118">
          <cell r="B118" t="str">
            <v>Bhlhe22</v>
          </cell>
        </row>
        <row r="119">
          <cell r="B119" t="str">
            <v>Plcd4</v>
          </cell>
        </row>
        <row r="120">
          <cell r="B120" t="str">
            <v>Pkia</v>
          </cell>
        </row>
        <row r="121">
          <cell r="B121" t="str">
            <v>Oaf</v>
          </cell>
        </row>
        <row r="122">
          <cell r="B122" t="str">
            <v>Ets2</v>
          </cell>
        </row>
        <row r="123">
          <cell r="B123" t="str">
            <v>Uck1</v>
          </cell>
        </row>
        <row r="124">
          <cell r="B124" t="str">
            <v>Polr2c</v>
          </cell>
        </row>
        <row r="125">
          <cell r="B125" t="str">
            <v>Spry4</v>
          </cell>
        </row>
        <row r="126">
          <cell r="B126" t="str">
            <v>Hist1h4i</v>
          </cell>
        </row>
        <row r="127">
          <cell r="B127" t="str">
            <v>Pde7a</v>
          </cell>
        </row>
        <row r="128">
          <cell r="B128" t="str">
            <v>Smg5</v>
          </cell>
        </row>
        <row r="129">
          <cell r="B129" t="str">
            <v>Kctd21</v>
          </cell>
        </row>
        <row r="130">
          <cell r="B130" t="str">
            <v>Ahctf1</v>
          </cell>
        </row>
        <row r="131">
          <cell r="B131" t="str">
            <v>Zfp882</v>
          </cell>
        </row>
        <row r="132">
          <cell r="B132" t="str">
            <v>Arc</v>
          </cell>
        </row>
        <row r="133">
          <cell r="B133" t="str">
            <v>Errfi1</v>
          </cell>
        </row>
        <row r="134">
          <cell r="B134" t="str">
            <v>Tmem11</v>
          </cell>
        </row>
        <row r="135">
          <cell r="B135" t="str">
            <v>Ocel1</v>
          </cell>
        </row>
        <row r="136">
          <cell r="B136" t="str">
            <v>Mex3c</v>
          </cell>
        </row>
        <row r="137">
          <cell r="B137" t="str">
            <v>Phospho2</v>
          </cell>
        </row>
        <row r="138">
          <cell r="B138" t="str">
            <v>Tmem106b</v>
          </cell>
        </row>
        <row r="139">
          <cell r="B139" t="str">
            <v>Net1</v>
          </cell>
        </row>
        <row r="140">
          <cell r="B140" t="str">
            <v>Cisd3</v>
          </cell>
        </row>
        <row r="141">
          <cell r="B141" t="str">
            <v>Clpb</v>
          </cell>
        </row>
        <row r="142">
          <cell r="B142" t="str">
            <v>Otub2</v>
          </cell>
        </row>
        <row r="143">
          <cell r="B143" t="str">
            <v>Creb1</v>
          </cell>
        </row>
        <row r="144">
          <cell r="B144" t="str">
            <v>Rexo4</v>
          </cell>
        </row>
        <row r="145">
          <cell r="B145" t="str">
            <v>Fnta</v>
          </cell>
        </row>
        <row r="146">
          <cell r="B146" t="str">
            <v>Ssr3</v>
          </cell>
        </row>
        <row r="147">
          <cell r="B147" t="str">
            <v>Ralgps2</v>
          </cell>
        </row>
        <row r="148">
          <cell r="B148" t="str">
            <v>Gm43980</v>
          </cell>
        </row>
        <row r="149">
          <cell r="B149" t="str">
            <v>Tiam2</v>
          </cell>
        </row>
        <row r="150">
          <cell r="B150" t="str">
            <v>Gm10605</v>
          </cell>
        </row>
        <row r="151">
          <cell r="B151" t="str">
            <v>Mtmr4</v>
          </cell>
        </row>
        <row r="152">
          <cell r="B152" t="str">
            <v>Paxbp1</v>
          </cell>
        </row>
        <row r="153">
          <cell r="B153" t="str">
            <v>Nt5c3b</v>
          </cell>
        </row>
        <row r="154">
          <cell r="B154" t="str">
            <v>Gjb6</v>
          </cell>
        </row>
        <row r="155">
          <cell r="B155" t="str">
            <v>Chuk</v>
          </cell>
        </row>
        <row r="156">
          <cell r="B156" t="str">
            <v>Slc2a4rg-ps</v>
          </cell>
        </row>
        <row r="157">
          <cell r="B157" t="str">
            <v>Zfp329</v>
          </cell>
        </row>
        <row r="158">
          <cell r="B158" t="str">
            <v>BC030499</v>
          </cell>
        </row>
        <row r="159">
          <cell r="B159" t="str">
            <v>Usp37</v>
          </cell>
        </row>
        <row r="160">
          <cell r="B160" t="str">
            <v>Prpf4b</v>
          </cell>
        </row>
        <row r="161">
          <cell r="B161" t="str">
            <v>Pdk1</v>
          </cell>
        </row>
        <row r="162">
          <cell r="B162" t="str">
            <v>D030056L22Rik</v>
          </cell>
        </row>
        <row r="163">
          <cell r="B163" t="str">
            <v>Ap5z1</v>
          </cell>
        </row>
        <row r="164">
          <cell r="B164" t="str">
            <v>Lin37</v>
          </cell>
        </row>
        <row r="165">
          <cell r="B165" t="str">
            <v>Capn7</v>
          </cell>
        </row>
        <row r="166">
          <cell r="B166" t="str">
            <v>Rnf19a</v>
          </cell>
        </row>
        <row r="167">
          <cell r="B167" t="str">
            <v>Rnpep</v>
          </cell>
        </row>
        <row r="168">
          <cell r="B168" t="str">
            <v>Wsb1</v>
          </cell>
        </row>
        <row r="169">
          <cell r="B169" t="str">
            <v>Chka</v>
          </cell>
        </row>
        <row r="170">
          <cell r="B170" t="str">
            <v>Cxcl14</v>
          </cell>
        </row>
        <row r="171">
          <cell r="B171" t="str">
            <v>Uba6</v>
          </cell>
        </row>
        <row r="172">
          <cell r="B172" t="str">
            <v>Adam1a</v>
          </cell>
        </row>
        <row r="173">
          <cell r="B173" t="str">
            <v>Cables1</v>
          </cell>
        </row>
        <row r="174">
          <cell r="B174" t="str">
            <v>Sap30bp</v>
          </cell>
        </row>
        <row r="175">
          <cell r="B175" t="str">
            <v>Ccdc126</v>
          </cell>
        </row>
        <row r="176">
          <cell r="B176" t="str">
            <v>Ly6c1</v>
          </cell>
        </row>
        <row r="177">
          <cell r="B177" t="str">
            <v>Rrnad1</v>
          </cell>
        </row>
        <row r="178">
          <cell r="B178" t="str">
            <v>Mfap3</v>
          </cell>
        </row>
        <row r="179">
          <cell r="B179" t="str">
            <v>Ypel3</v>
          </cell>
        </row>
        <row r="180">
          <cell r="B180" t="str">
            <v>Gnaz</v>
          </cell>
        </row>
        <row r="181">
          <cell r="B181" t="str">
            <v>Ivns1abp</v>
          </cell>
        </row>
        <row r="182">
          <cell r="B182" t="str">
            <v>Dynlrb1</v>
          </cell>
        </row>
        <row r="183">
          <cell r="B183" t="str">
            <v>Mok</v>
          </cell>
        </row>
        <row r="184">
          <cell r="B184" t="str">
            <v>Zgpat</v>
          </cell>
        </row>
        <row r="185">
          <cell r="B185" t="str">
            <v>Noc3l</v>
          </cell>
        </row>
        <row r="186">
          <cell r="B186" t="str">
            <v>Cd3eap</v>
          </cell>
        </row>
        <row r="187">
          <cell r="B187" t="str">
            <v>Srms</v>
          </cell>
        </row>
        <row r="188">
          <cell r="B188" t="str">
            <v>Creld2</v>
          </cell>
        </row>
        <row r="189">
          <cell r="B189" t="str">
            <v>Mettl11b</v>
          </cell>
        </row>
        <row r="190">
          <cell r="B190" t="str">
            <v>Tmem185a</v>
          </cell>
        </row>
        <row r="191">
          <cell r="B191" t="str">
            <v>Ttc14</v>
          </cell>
        </row>
        <row r="192">
          <cell r="B192" t="str">
            <v>Cdkn2aip</v>
          </cell>
        </row>
        <row r="193">
          <cell r="B193" t="str">
            <v>Ankzf1</v>
          </cell>
        </row>
        <row r="194">
          <cell r="B194" t="str">
            <v>Fam114a2</v>
          </cell>
        </row>
        <row r="195">
          <cell r="B195" t="str">
            <v>Hdac4</v>
          </cell>
        </row>
        <row r="196">
          <cell r="B196" t="str">
            <v>Coq10b</v>
          </cell>
        </row>
        <row r="197">
          <cell r="B197" t="str">
            <v>Aktip</v>
          </cell>
        </row>
        <row r="198">
          <cell r="B198" t="str">
            <v>Atg5</v>
          </cell>
        </row>
        <row r="199">
          <cell r="B199" t="str">
            <v>Zfp944</v>
          </cell>
        </row>
        <row r="200">
          <cell r="B200" t="str">
            <v>Crot</v>
          </cell>
        </row>
        <row r="201">
          <cell r="B201" t="str">
            <v>Ccdc137</v>
          </cell>
        </row>
        <row r="202">
          <cell r="B202" t="str">
            <v>Crebl2</v>
          </cell>
        </row>
        <row r="203">
          <cell r="B203" t="str">
            <v>Zbtb11</v>
          </cell>
        </row>
        <row r="204">
          <cell r="B204" t="str">
            <v>Gm9989</v>
          </cell>
        </row>
        <row r="205">
          <cell r="B205" t="str">
            <v>Zbtb40</v>
          </cell>
        </row>
        <row r="206">
          <cell r="B206" t="str">
            <v>CT009718.4</v>
          </cell>
        </row>
        <row r="207">
          <cell r="B207" t="str">
            <v>Chordc1</v>
          </cell>
        </row>
        <row r="208">
          <cell r="B208" t="str">
            <v>Katna1</v>
          </cell>
        </row>
        <row r="209">
          <cell r="B209" t="str">
            <v>Bid</v>
          </cell>
        </row>
        <row r="210">
          <cell r="B210" t="str">
            <v>Atp10a</v>
          </cell>
        </row>
        <row r="211">
          <cell r="B211" t="str">
            <v>Crip3</v>
          </cell>
        </row>
        <row r="212">
          <cell r="B212" t="str">
            <v>Prkrip1</v>
          </cell>
        </row>
        <row r="213">
          <cell r="B213" t="str">
            <v>Mon1a</v>
          </cell>
        </row>
        <row r="214">
          <cell r="B214" t="str">
            <v>Phtf1</v>
          </cell>
        </row>
        <row r="215">
          <cell r="B215" t="str">
            <v>Sec22b</v>
          </cell>
        </row>
        <row r="216">
          <cell r="B216" t="str">
            <v>Rnf215</v>
          </cell>
        </row>
        <row r="217">
          <cell r="B217" t="str">
            <v>Ankrd26</v>
          </cell>
        </row>
        <row r="218">
          <cell r="B218" t="str">
            <v>Mirg</v>
          </cell>
        </row>
        <row r="219">
          <cell r="B219" t="str">
            <v>Kif3b</v>
          </cell>
        </row>
        <row r="220">
          <cell r="B220" t="str">
            <v>Pnmal1</v>
          </cell>
        </row>
        <row r="221">
          <cell r="B221" t="str">
            <v>Arhgef3</v>
          </cell>
        </row>
        <row r="222">
          <cell r="B222" t="str">
            <v>Tmem33</v>
          </cell>
        </row>
        <row r="223">
          <cell r="B223" t="str">
            <v>Zscan26</v>
          </cell>
        </row>
        <row r="224">
          <cell r="B224" t="str">
            <v>Anapc16</v>
          </cell>
        </row>
        <row r="225">
          <cell r="B225" t="str">
            <v>Taf12</v>
          </cell>
        </row>
        <row r="226">
          <cell r="B226" t="str">
            <v>Gmfb</v>
          </cell>
        </row>
        <row r="227">
          <cell r="B227" t="str">
            <v>Pigg</v>
          </cell>
        </row>
        <row r="228">
          <cell r="B228" t="str">
            <v>Jmjd6</v>
          </cell>
        </row>
        <row r="229">
          <cell r="B229" t="str">
            <v>Dcun1d2</v>
          </cell>
        </row>
        <row r="230">
          <cell r="B230" t="str">
            <v>Rpe</v>
          </cell>
        </row>
        <row r="231">
          <cell r="B231" t="str">
            <v>Ing1</v>
          </cell>
        </row>
        <row r="232">
          <cell r="B232" t="str">
            <v>Rsrc2</v>
          </cell>
        </row>
        <row r="233">
          <cell r="B233" t="str">
            <v>Timm22</v>
          </cell>
        </row>
        <row r="234">
          <cell r="B234" t="str">
            <v>Fam107a</v>
          </cell>
        </row>
        <row r="235">
          <cell r="B235" t="str">
            <v>Flcn</v>
          </cell>
        </row>
        <row r="236">
          <cell r="B236" t="str">
            <v>Clk4</v>
          </cell>
        </row>
        <row r="237">
          <cell r="B237" t="str">
            <v>Vegfa</v>
          </cell>
        </row>
        <row r="238">
          <cell r="B238" t="str">
            <v>Mlx</v>
          </cell>
        </row>
        <row r="239">
          <cell r="B239" t="str">
            <v>Sfpq</v>
          </cell>
        </row>
        <row r="240">
          <cell r="B240" t="str">
            <v>Pdia5</v>
          </cell>
        </row>
        <row r="241">
          <cell r="B241" t="str">
            <v>Pdzd11</v>
          </cell>
        </row>
        <row r="242">
          <cell r="B242" t="str">
            <v>Zc3h7a</v>
          </cell>
        </row>
        <row r="243">
          <cell r="B243" t="str">
            <v>Cnih4</v>
          </cell>
        </row>
        <row r="244">
          <cell r="B244" t="str">
            <v>Capn10</v>
          </cell>
        </row>
        <row r="245">
          <cell r="B245" t="str">
            <v>Mien1</v>
          </cell>
        </row>
        <row r="246">
          <cell r="B246" t="str">
            <v>Cd2bp2</v>
          </cell>
        </row>
        <row r="247">
          <cell r="B247" t="str">
            <v>Ramp1</v>
          </cell>
        </row>
        <row r="248">
          <cell r="B248" t="str">
            <v>Hcfc2</v>
          </cell>
        </row>
        <row r="249">
          <cell r="B249" t="str">
            <v>Gm17191</v>
          </cell>
        </row>
        <row r="250">
          <cell r="B250" t="str">
            <v>Sacm1l</v>
          </cell>
        </row>
        <row r="251">
          <cell r="B251" t="str">
            <v>Pxdn</v>
          </cell>
        </row>
        <row r="252">
          <cell r="B252" t="str">
            <v>Rit1</v>
          </cell>
        </row>
        <row r="253">
          <cell r="B253" t="str">
            <v>Zfp317</v>
          </cell>
        </row>
        <row r="254">
          <cell r="B254" t="str">
            <v>Pnrc2</v>
          </cell>
        </row>
        <row r="255">
          <cell r="B255" t="str">
            <v>Zfp14</v>
          </cell>
        </row>
        <row r="256">
          <cell r="B256" t="str">
            <v>Zfp68</v>
          </cell>
        </row>
        <row r="257">
          <cell r="B257" t="str">
            <v>Ppil4</v>
          </cell>
        </row>
        <row r="258">
          <cell r="B258" t="str">
            <v>Rpa3</v>
          </cell>
        </row>
        <row r="259">
          <cell r="B259" t="str">
            <v>Twf2</v>
          </cell>
        </row>
        <row r="260">
          <cell r="B260" t="str">
            <v>Noxred1</v>
          </cell>
        </row>
        <row r="261">
          <cell r="B261" t="str">
            <v>Trim39</v>
          </cell>
        </row>
        <row r="262">
          <cell r="B262" t="str">
            <v>Dpy30</v>
          </cell>
        </row>
        <row r="263">
          <cell r="B263" t="str">
            <v>Hist2h4</v>
          </cell>
        </row>
        <row r="264">
          <cell r="B264" t="str">
            <v>Tmem209</v>
          </cell>
        </row>
        <row r="265">
          <cell r="B265" t="str">
            <v>Ift80</v>
          </cell>
        </row>
        <row r="266">
          <cell r="B266" t="str">
            <v>Gm38372</v>
          </cell>
        </row>
        <row r="267">
          <cell r="B267" t="str">
            <v>Vcl</v>
          </cell>
        </row>
        <row r="268">
          <cell r="B268" t="str">
            <v>Cpsf4l</v>
          </cell>
        </row>
        <row r="269">
          <cell r="B269" t="str">
            <v>Gm12264</v>
          </cell>
        </row>
        <row r="270">
          <cell r="B270" t="str">
            <v>Imp4</v>
          </cell>
        </row>
        <row r="271">
          <cell r="B271" t="str">
            <v>Sowaha</v>
          </cell>
        </row>
        <row r="272">
          <cell r="B272" t="str">
            <v>Hist3h2a</v>
          </cell>
        </row>
        <row r="273">
          <cell r="B273" t="str">
            <v>Zfp276</v>
          </cell>
        </row>
        <row r="274">
          <cell r="B274" t="str">
            <v>Ahsa2</v>
          </cell>
        </row>
        <row r="275">
          <cell r="B275" t="str">
            <v>Pvr</v>
          </cell>
        </row>
        <row r="276">
          <cell r="B276" t="str">
            <v>Mta3</v>
          </cell>
        </row>
        <row r="277">
          <cell r="B277" t="str">
            <v>Pomt1</v>
          </cell>
        </row>
        <row r="278">
          <cell r="B278" t="str">
            <v>Sh3bp1</v>
          </cell>
        </row>
        <row r="279">
          <cell r="B279" t="str">
            <v>Zmym6</v>
          </cell>
        </row>
        <row r="280">
          <cell r="B280" t="str">
            <v>Aph1b</v>
          </cell>
        </row>
        <row r="281">
          <cell r="B281" t="str">
            <v>Hnrnph1</v>
          </cell>
        </row>
        <row r="282">
          <cell r="B282" t="str">
            <v>Cldn10</v>
          </cell>
        </row>
        <row r="283">
          <cell r="B283" t="str">
            <v>Bloc1s2</v>
          </cell>
        </row>
        <row r="284">
          <cell r="B284" t="str">
            <v>Gm42730</v>
          </cell>
        </row>
        <row r="285">
          <cell r="B285" t="str">
            <v>Cnih1</v>
          </cell>
        </row>
        <row r="286">
          <cell r="B286" t="str">
            <v>Rbm41</v>
          </cell>
        </row>
        <row r="287">
          <cell r="B287" t="str">
            <v>Itpa</v>
          </cell>
        </row>
        <row r="288">
          <cell r="B288" t="str">
            <v>Ppm1f</v>
          </cell>
        </row>
        <row r="289">
          <cell r="B289" t="str">
            <v>Dcdc2b</v>
          </cell>
        </row>
        <row r="290">
          <cell r="B290" t="str">
            <v>Ankrd23</v>
          </cell>
        </row>
        <row r="291">
          <cell r="B291" t="str">
            <v>Mamdc4</v>
          </cell>
        </row>
        <row r="292">
          <cell r="B292" t="str">
            <v>Acsl3</v>
          </cell>
        </row>
        <row r="293">
          <cell r="B293" t="str">
            <v>Lypd1</v>
          </cell>
        </row>
        <row r="294">
          <cell r="B294" t="str">
            <v>Ak4</v>
          </cell>
        </row>
        <row r="295">
          <cell r="B295" t="str">
            <v>H2afj</v>
          </cell>
        </row>
        <row r="296">
          <cell r="B296" t="str">
            <v>Nat1</v>
          </cell>
        </row>
        <row r="297">
          <cell r="B297" t="str">
            <v>Bcl7b</v>
          </cell>
        </row>
        <row r="298">
          <cell r="B298" t="str">
            <v>1810030O07Rik</v>
          </cell>
        </row>
        <row r="299">
          <cell r="B299" t="str">
            <v>Stoml1</v>
          </cell>
        </row>
        <row r="300">
          <cell r="B300" t="str">
            <v>Cyp2j9</v>
          </cell>
        </row>
        <row r="301">
          <cell r="B301" t="str">
            <v>Cygb</v>
          </cell>
        </row>
        <row r="302">
          <cell r="B302" t="str">
            <v>Gm12258</v>
          </cell>
        </row>
        <row r="303">
          <cell r="B303" t="str">
            <v>Stat2</v>
          </cell>
        </row>
        <row r="304">
          <cell r="B304" t="str">
            <v>Zfp84</v>
          </cell>
        </row>
        <row r="305">
          <cell r="B305" t="str">
            <v>Cuta</v>
          </cell>
        </row>
        <row r="306">
          <cell r="B306" t="str">
            <v>Gm1673</v>
          </cell>
        </row>
        <row r="307">
          <cell r="B307" t="str">
            <v>Gm16023</v>
          </cell>
        </row>
        <row r="308">
          <cell r="B308" t="str">
            <v>Ly6a</v>
          </cell>
        </row>
        <row r="309">
          <cell r="B309" t="str">
            <v>Flt3</v>
          </cell>
        </row>
        <row r="310">
          <cell r="B310" t="str">
            <v>Ing5</v>
          </cell>
        </row>
        <row r="311">
          <cell r="B311" t="str">
            <v>Tmem151b</v>
          </cell>
        </row>
        <row r="312">
          <cell r="B312" t="str">
            <v>Apaf1</v>
          </cell>
        </row>
        <row r="313">
          <cell r="B313" t="str">
            <v>Cbfa2t3</v>
          </cell>
        </row>
        <row r="314">
          <cell r="B314" t="str">
            <v>Tm6sf2</v>
          </cell>
        </row>
        <row r="315">
          <cell r="B315" t="str">
            <v>Zfp955b</v>
          </cell>
        </row>
        <row r="316">
          <cell r="B316" t="str">
            <v>Ints13</v>
          </cell>
        </row>
        <row r="317">
          <cell r="B317" t="str">
            <v>Ormdl1</v>
          </cell>
        </row>
        <row r="318">
          <cell r="B318" t="str">
            <v>Cript</v>
          </cell>
        </row>
        <row r="319">
          <cell r="B319" t="str">
            <v>Eri1</v>
          </cell>
        </row>
        <row r="320">
          <cell r="B320" t="str">
            <v>Chst10</v>
          </cell>
        </row>
        <row r="321">
          <cell r="B321" t="str">
            <v>Gm45174</v>
          </cell>
        </row>
        <row r="322">
          <cell r="B322" t="str">
            <v>Bmi1</v>
          </cell>
        </row>
        <row r="323">
          <cell r="B323" t="str">
            <v>Nde1</v>
          </cell>
        </row>
        <row r="324">
          <cell r="B324" t="str">
            <v>Fam46a</v>
          </cell>
        </row>
        <row r="325">
          <cell r="B325" t="str">
            <v>Pclaf</v>
          </cell>
        </row>
        <row r="326">
          <cell r="B326" t="str">
            <v>Gfra2</v>
          </cell>
        </row>
        <row r="327">
          <cell r="B327" t="str">
            <v>Tia1</v>
          </cell>
        </row>
        <row r="328">
          <cell r="B328" t="str">
            <v>Dbt</v>
          </cell>
        </row>
        <row r="329">
          <cell r="B329" t="str">
            <v>Atpaf2</v>
          </cell>
        </row>
        <row r="330">
          <cell r="B330" t="str">
            <v>Fgfr1op2</v>
          </cell>
        </row>
        <row r="331">
          <cell r="B331" t="str">
            <v>Klhl2</v>
          </cell>
        </row>
        <row r="332">
          <cell r="B332" t="str">
            <v>Ubtf</v>
          </cell>
        </row>
        <row r="333">
          <cell r="B333" t="str">
            <v>Mis12</v>
          </cell>
        </row>
        <row r="334">
          <cell r="B334" t="str">
            <v>Srsf3</v>
          </cell>
        </row>
        <row r="335">
          <cell r="B335" t="str">
            <v>Scarna13</v>
          </cell>
        </row>
        <row r="336">
          <cell r="B336" t="str">
            <v>Wee1</v>
          </cell>
        </row>
        <row r="337">
          <cell r="B337" t="str">
            <v>Tmco6</v>
          </cell>
        </row>
        <row r="338">
          <cell r="B338" t="str">
            <v>Gpt</v>
          </cell>
        </row>
        <row r="339">
          <cell r="B339" t="str">
            <v>Ebna1bp2</v>
          </cell>
        </row>
        <row r="340">
          <cell r="B340" t="str">
            <v>Amz2</v>
          </cell>
        </row>
        <row r="341">
          <cell r="B341" t="str">
            <v>Tut1</v>
          </cell>
        </row>
        <row r="342">
          <cell r="B342" t="str">
            <v>Mkks</v>
          </cell>
        </row>
        <row r="343">
          <cell r="B343" t="str">
            <v>Hist2h2be</v>
          </cell>
        </row>
        <row r="344">
          <cell r="B344" t="str">
            <v>Rbm12b1</v>
          </cell>
        </row>
        <row r="345">
          <cell r="B345" t="str">
            <v>Cdk20</v>
          </cell>
        </row>
        <row r="346">
          <cell r="B346" t="str">
            <v>Ddit4</v>
          </cell>
        </row>
        <row r="347">
          <cell r="B347" t="str">
            <v>Ldah</v>
          </cell>
        </row>
        <row r="348">
          <cell r="B348" t="str">
            <v>Rictor</v>
          </cell>
        </row>
        <row r="349">
          <cell r="B349" t="str">
            <v>Ppp4r3b</v>
          </cell>
        </row>
        <row r="350">
          <cell r="B350" t="str">
            <v>Gmps</v>
          </cell>
        </row>
        <row r="351">
          <cell r="B351" t="str">
            <v>Gm44624</v>
          </cell>
        </row>
        <row r="352">
          <cell r="B352" t="str">
            <v>Nr4a1</v>
          </cell>
        </row>
        <row r="353">
          <cell r="B353" t="str">
            <v>Eif4e3</v>
          </cell>
        </row>
        <row r="354">
          <cell r="B354" t="str">
            <v>Zfp397</v>
          </cell>
        </row>
        <row r="355">
          <cell r="B355" t="str">
            <v>Rdh13</v>
          </cell>
        </row>
        <row r="356">
          <cell r="B356" t="str">
            <v>Gm30340</v>
          </cell>
        </row>
        <row r="357">
          <cell r="B357" t="str">
            <v>Msantd4</v>
          </cell>
        </row>
        <row r="358">
          <cell r="B358" t="str">
            <v>Zfp811</v>
          </cell>
        </row>
        <row r="359">
          <cell r="B359" t="str">
            <v>Tbc1d22a</v>
          </cell>
        </row>
        <row r="360">
          <cell r="B360" t="str">
            <v>Zc3h8</v>
          </cell>
        </row>
        <row r="361">
          <cell r="B361" t="str">
            <v>Lin9</v>
          </cell>
        </row>
        <row r="362">
          <cell r="B362" t="str">
            <v>Ormdl3</v>
          </cell>
        </row>
        <row r="363">
          <cell r="B363" t="str">
            <v>Nup205</v>
          </cell>
        </row>
        <row r="364">
          <cell r="B364" t="str">
            <v>Mxd4</v>
          </cell>
        </row>
        <row r="365">
          <cell r="B365" t="str">
            <v>Zfp120</v>
          </cell>
        </row>
        <row r="366">
          <cell r="B366" t="str">
            <v>Rab23</v>
          </cell>
        </row>
        <row r="367">
          <cell r="B367" t="str">
            <v>Gabpb1</v>
          </cell>
        </row>
        <row r="368">
          <cell r="B368" t="str">
            <v>Ccng2</v>
          </cell>
        </row>
        <row r="369">
          <cell r="B369" t="str">
            <v>Kansl3</v>
          </cell>
        </row>
        <row r="370">
          <cell r="B370" t="str">
            <v>Nusap1</v>
          </cell>
        </row>
        <row r="371">
          <cell r="B371" t="str">
            <v>Rbm18</v>
          </cell>
        </row>
        <row r="372">
          <cell r="B372" t="str">
            <v>Nup62</v>
          </cell>
        </row>
        <row r="373">
          <cell r="B373" t="str">
            <v>Ncbp2</v>
          </cell>
        </row>
        <row r="374">
          <cell r="B374" t="str">
            <v>Gm43032</v>
          </cell>
        </row>
        <row r="375">
          <cell r="B375" t="str">
            <v>8430408G22Rik</v>
          </cell>
        </row>
        <row r="376">
          <cell r="B376" t="str">
            <v>Ankrd6</v>
          </cell>
        </row>
        <row r="377">
          <cell r="B377" t="str">
            <v>Rngtt</v>
          </cell>
        </row>
        <row r="378">
          <cell r="B378" t="str">
            <v>Inip</v>
          </cell>
        </row>
        <row r="379">
          <cell r="B379" t="str">
            <v>Hrk</v>
          </cell>
        </row>
        <row r="380">
          <cell r="B380" t="str">
            <v>Rmdn3</v>
          </cell>
        </row>
        <row r="381">
          <cell r="B381" t="str">
            <v>Echdc2</v>
          </cell>
        </row>
        <row r="382">
          <cell r="B382" t="str">
            <v>Zfp266</v>
          </cell>
        </row>
        <row r="383">
          <cell r="B383" t="str">
            <v>Hexim1</v>
          </cell>
        </row>
        <row r="384">
          <cell r="B384" t="str">
            <v>Scn3b</v>
          </cell>
        </row>
        <row r="385">
          <cell r="B385" t="str">
            <v>Ubl4a</v>
          </cell>
        </row>
        <row r="386">
          <cell r="B386" t="str">
            <v>Mir124a-1hg</v>
          </cell>
        </row>
        <row r="387">
          <cell r="B387" t="str">
            <v>Ctxn2</v>
          </cell>
        </row>
        <row r="388">
          <cell r="B388" t="str">
            <v>Sike1</v>
          </cell>
        </row>
        <row r="389">
          <cell r="B389" t="str">
            <v>Stk4</v>
          </cell>
        </row>
        <row r="390">
          <cell r="B390" t="str">
            <v>Pigc</v>
          </cell>
        </row>
        <row r="391">
          <cell r="B391" t="str">
            <v>Slc25a51</v>
          </cell>
        </row>
        <row r="392">
          <cell r="B392" t="str">
            <v>Usmg5</v>
          </cell>
        </row>
        <row r="393">
          <cell r="B393" t="str">
            <v>S1pr1</v>
          </cell>
        </row>
        <row r="394">
          <cell r="B394" t="str">
            <v>Rbm10</v>
          </cell>
        </row>
        <row r="395">
          <cell r="B395" t="str">
            <v>Hist1h3a</v>
          </cell>
        </row>
        <row r="396">
          <cell r="B396" t="str">
            <v>Gramd4</v>
          </cell>
        </row>
        <row r="397">
          <cell r="B397" t="str">
            <v>Akt2</v>
          </cell>
        </row>
        <row r="398">
          <cell r="B398" t="str">
            <v>Btg1</v>
          </cell>
        </row>
        <row r="399">
          <cell r="B399" t="str">
            <v>Engase</v>
          </cell>
        </row>
        <row r="400">
          <cell r="B400" t="str">
            <v>Gm43609</v>
          </cell>
        </row>
        <row r="401">
          <cell r="B401" t="str">
            <v>Gtf2h1</v>
          </cell>
        </row>
        <row r="402">
          <cell r="B402" t="str">
            <v>2610035D17Rik</v>
          </cell>
        </row>
        <row r="403">
          <cell r="B403" t="str">
            <v>Tjp1</v>
          </cell>
        </row>
        <row r="404">
          <cell r="B404" t="str">
            <v>Ttc4</v>
          </cell>
        </row>
        <row r="405">
          <cell r="B405" t="str">
            <v>Pfkfb4</v>
          </cell>
        </row>
        <row r="406">
          <cell r="B406" t="str">
            <v>Dhx33</v>
          </cell>
        </row>
        <row r="407">
          <cell r="B407" t="str">
            <v>Ubac1</v>
          </cell>
        </row>
        <row r="408">
          <cell r="B408" t="str">
            <v>Mrpl9</v>
          </cell>
        </row>
        <row r="409">
          <cell r="B409" t="str">
            <v>Eid2b</v>
          </cell>
        </row>
        <row r="410">
          <cell r="B410" t="str">
            <v>Ccl27a</v>
          </cell>
        </row>
        <row r="411">
          <cell r="B411" t="str">
            <v>Xbp1</v>
          </cell>
        </row>
        <row r="412">
          <cell r="B412" t="str">
            <v>Ch25h</v>
          </cell>
        </row>
        <row r="413">
          <cell r="B413" t="str">
            <v>Mthfr</v>
          </cell>
        </row>
        <row r="414">
          <cell r="B414" t="str">
            <v>Bms1</v>
          </cell>
        </row>
        <row r="415">
          <cell r="B415" t="str">
            <v>Sh3gl1</v>
          </cell>
        </row>
        <row r="416">
          <cell r="B416" t="str">
            <v>Thap1</v>
          </cell>
        </row>
        <row r="417">
          <cell r="B417" t="str">
            <v>AC121804.3</v>
          </cell>
        </row>
        <row r="418">
          <cell r="B418" t="str">
            <v>3110043O21Rik</v>
          </cell>
        </row>
        <row r="419">
          <cell r="B419" t="str">
            <v>Gm14325</v>
          </cell>
        </row>
        <row r="420">
          <cell r="B420" t="str">
            <v>Rin2</v>
          </cell>
        </row>
        <row r="421">
          <cell r="B421" t="str">
            <v>Srsf2</v>
          </cell>
        </row>
        <row r="422">
          <cell r="B422" t="str">
            <v>Zfp422-ps</v>
          </cell>
        </row>
        <row r="423">
          <cell r="B423" t="str">
            <v>Zfp180</v>
          </cell>
        </row>
        <row r="424">
          <cell r="B424" t="str">
            <v>Smoc2</v>
          </cell>
        </row>
        <row r="425">
          <cell r="B425" t="str">
            <v>Paqr7</v>
          </cell>
        </row>
        <row r="426">
          <cell r="B426" t="str">
            <v>Psmd8</v>
          </cell>
        </row>
        <row r="427">
          <cell r="B427" t="str">
            <v>E2f6</v>
          </cell>
        </row>
        <row r="428">
          <cell r="B428" t="str">
            <v>Lonrf3</v>
          </cell>
        </row>
        <row r="429">
          <cell r="B429" t="str">
            <v>Ccdc93</v>
          </cell>
        </row>
        <row r="430">
          <cell r="B430" t="str">
            <v>Ubxn2b</v>
          </cell>
        </row>
        <row r="431">
          <cell r="B431" t="str">
            <v>Ip6k1</v>
          </cell>
        </row>
        <row r="432">
          <cell r="B432" t="str">
            <v>Msrb2</v>
          </cell>
        </row>
        <row r="433">
          <cell r="B433" t="str">
            <v>Bub1</v>
          </cell>
        </row>
        <row r="434">
          <cell r="B434" t="str">
            <v>Iqcc</v>
          </cell>
        </row>
        <row r="435">
          <cell r="B435" t="str">
            <v>Scin</v>
          </cell>
        </row>
        <row r="436">
          <cell r="B436" t="str">
            <v>Btaf1</v>
          </cell>
        </row>
        <row r="437">
          <cell r="B437" t="str">
            <v>Acin1</v>
          </cell>
        </row>
        <row r="438">
          <cell r="B438" t="str">
            <v>Gfra4</v>
          </cell>
        </row>
        <row r="439">
          <cell r="B439" t="str">
            <v>Them4</v>
          </cell>
        </row>
        <row r="440">
          <cell r="B440" t="str">
            <v>Mcl1</v>
          </cell>
        </row>
        <row r="441">
          <cell r="B441" t="str">
            <v>Rrn3</v>
          </cell>
        </row>
        <row r="442">
          <cell r="B442" t="str">
            <v>Top1</v>
          </cell>
        </row>
        <row r="443">
          <cell r="B443" t="str">
            <v>Coq5</v>
          </cell>
        </row>
        <row r="444">
          <cell r="B444" t="str">
            <v>Pfdn5</v>
          </cell>
        </row>
        <row r="445">
          <cell r="B445" t="str">
            <v>Btbd1</v>
          </cell>
        </row>
        <row r="446">
          <cell r="B446" t="str">
            <v>Cbx1</v>
          </cell>
        </row>
        <row r="447">
          <cell r="B447" t="str">
            <v>Rpl41</v>
          </cell>
        </row>
        <row r="448">
          <cell r="B448" t="str">
            <v>Colgalt1</v>
          </cell>
        </row>
        <row r="449">
          <cell r="B449" t="str">
            <v>Kctd6</v>
          </cell>
        </row>
        <row r="450">
          <cell r="B450" t="str">
            <v>Cebpb</v>
          </cell>
        </row>
        <row r="451">
          <cell r="B451" t="str">
            <v>Adamts2</v>
          </cell>
        </row>
        <row r="452">
          <cell r="B452" t="str">
            <v>Mtrf1l</v>
          </cell>
        </row>
        <row r="453">
          <cell r="B453" t="str">
            <v>Hexa</v>
          </cell>
        </row>
        <row r="454">
          <cell r="B454" t="str">
            <v>Cenpi</v>
          </cell>
        </row>
        <row r="455">
          <cell r="B455" t="str">
            <v>Gm29650</v>
          </cell>
        </row>
        <row r="456">
          <cell r="B456" t="str">
            <v>Hist1h2bb</v>
          </cell>
        </row>
        <row r="457">
          <cell r="B457" t="str">
            <v>Gm4349</v>
          </cell>
        </row>
        <row r="458">
          <cell r="B458" t="str">
            <v>Atf4</v>
          </cell>
        </row>
        <row r="459">
          <cell r="B459" t="str">
            <v>Gm42967</v>
          </cell>
        </row>
        <row r="460">
          <cell r="B460" t="str">
            <v>Tmem258</v>
          </cell>
        </row>
        <row r="461">
          <cell r="B461" t="str">
            <v>Mc4r</v>
          </cell>
        </row>
        <row r="462">
          <cell r="B462" t="str">
            <v>Fam208a</v>
          </cell>
        </row>
        <row r="463">
          <cell r="B463" t="str">
            <v>Ttf1</v>
          </cell>
        </row>
        <row r="464">
          <cell r="B464" t="str">
            <v>Mertk</v>
          </cell>
        </row>
        <row r="465">
          <cell r="B465" t="str">
            <v>Exog</v>
          </cell>
        </row>
        <row r="466">
          <cell r="B466" t="str">
            <v>Txnl4a</v>
          </cell>
        </row>
        <row r="467">
          <cell r="B467" t="str">
            <v>2010107E04Rik</v>
          </cell>
        </row>
        <row r="468">
          <cell r="B468" t="str">
            <v>Ube2w</v>
          </cell>
        </row>
        <row r="469">
          <cell r="B469" t="str">
            <v>Slc19a3</v>
          </cell>
        </row>
        <row r="470">
          <cell r="B470" t="str">
            <v>Sbk1</v>
          </cell>
        </row>
        <row r="471">
          <cell r="B471" t="str">
            <v>Pop5</v>
          </cell>
        </row>
        <row r="472">
          <cell r="B472" t="str">
            <v>Islr2</v>
          </cell>
        </row>
        <row r="473">
          <cell r="B473" t="str">
            <v>Krit1</v>
          </cell>
        </row>
        <row r="474">
          <cell r="B474" t="str">
            <v>Gm43860</v>
          </cell>
        </row>
        <row r="475">
          <cell r="B475" t="str">
            <v>2610021A01Rik</v>
          </cell>
        </row>
        <row r="476">
          <cell r="B476" t="str">
            <v>Hist1h3d</v>
          </cell>
        </row>
        <row r="477">
          <cell r="B477" t="str">
            <v>Amt</v>
          </cell>
        </row>
        <row r="478">
          <cell r="B478" t="str">
            <v>Borcs8</v>
          </cell>
        </row>
        <row r="479">
          <cell r="B479" t="str">
            <v>Ykt6</v>
          </cell>
        </row>
        <row r="480">
          <cell r="B480" t="str">
            <v>Smchd1</v>
          </cell>
        </row>
        <row r="481">
          <cell r="B481" t="str">
            <v>Ube2g2</v>
          </cell>
        </row>
        <row r="482">
          <cell r="B482" t="str">
            <v>Pfkfb3</v>
          </cell>
        </row>
        <row r="483">
          <cell r="B483" t="str">
            <v>Spast</v>
          </cell>
        </row>
        <row r="484">
          <cell r="B484" t="str">
            <v>Yeats2</v>
          </cell>
        </row>
        <row r="485">
          <cell r="B485" t="str">
            <v>Timm29</v>
          </cell>
        </row>
        <row r="486">
          <cell r="B486" t="str">
            <v>Herpud1</v>
          </cell>
        </row>
        <row r="487">
          <cell r="B487" t="str">
            <v>Trib2</v>
          </cell>
        </row>
        <row r="488">
          <cell r="B488" t="str">
            <v>Synj2bp</v>
          </cell>
        </row>
        <row r="489">
          <cell r="B489" t="str">
            <v>Ppp1r11</v>
          </cell>
        </row>
        <row r="490">
          <cell r="B490" t="str">
            <v>Pla2g15</v>
          </cell>
        </row>
        <row r="491">
          <cell r="B491" t="str">
            <v>Mettl7a1</v>
          </cell>
        </row>
        <row r="492">
          <cell r="B492" t="str">
            <v>Zbtb6</v>
          </cell>
        </row>
        <row r="493">
          <cell r="B493" t="str">
            <v>Paip2b</v>
          </cell>
        </row>
        <row r="494">
          <cell r="B494" t="str">
            <v>Adipor2</v>
          </cell>
        </row>
        <row r="495">
          <cell r="B495" t="str">
            <v>Fas</v>
          </cell>
        </row>
        <row r="496">
          <cell r="B496" t="str">
            <v>Ogfod2</v>
          </cell>
        </row>
        <row r="497">
          <cell r="B497" t="str">
            <v>Slc38a9</v>
          </cell>
        </row>
        <row r="498">
          <cell r="B498" t="str">
            <v>Tmsb10</v>
          </cell>
        </row>
        <row r="499">
          <cell r="B499" t="str">
            <v>Zfp12</v>
          </cell>
        </row>
        <row r="500">
          <cell r="B500" t="str">
            <v>Rrp8</v>
          </cell>
        </row>
        <row r="501">
          <cell r="B501" t="str">
            <v>Smim11</v>
          </cell>
        </row>
        <row r="502">
          <cell r="B502" t="str">
            <v>Trim17</v>
          </cell>
        </row>
        <row r="503">
          <cell r="B503" t="str">
            <v>Doc2b</v>
          </cell>
        </row>
        <row r="504">
          <cell r="B504" t="str">
            <v>Gm2420</v>
          </cell>
        </row>
        <row r="505">
          <cell r="B505" t="str">
            <v>Hist1h4f</v>
          </cell>
        </row>
        <row r="506">
          <cell r="B506" t="str">
            <v>Mcfd2</v>
          </cell>
        </row>
        <row r="507">
          <cell r="B507" t="str">
            <v>Supt4a</v>
          </cell>
        </row>
        <row r="508">
          <cell r="B508" t="str">
            <v>Dnajc15</v>
          </cell>
        </row>
        <row r="509">
          <cell r="B509" t="str">
            <v>Ogfod1</v>
          </cell>
        </row>
      </sheetData>
      <sheetData sheetId="3"/>
      <sheetData sheetId="4"/>
      <sheetData sheetId="5">
        <row r="3">
          <cell r="B3" t="str">
            <v>Cirbp</v>
          </cell>
        </row>
        <row r="4">
          <cell r="B4" t="str">
            <v>Kcna4</v>
          </cell>
        </row>
        <row r="5">
          <cell r="B5" t="str">
            <v>Slc6a6</v>
          </cell>
        </row>
        <row r="6">
          <cell r="B6" t="str">
            <v>Zfp46</v>
          </cell>
        </row>
        <row r="7">
          <cell r="B7" t="str">
            <v>Erf</v>
          </cell>
        </row>
        <row r="8">
          <cell r="B8" t="str">
            <v>2510009E07Rik</v>
          </cell>
        </row>
        <row r="9">
          <cell r="B9" t="str">
            <v>Pla2g4e</v>
          </cell>
        </row>
        <row r="10">
          <cell r="B10" t="str">
            <v>Wnt9a</v>
          </cell>
        </row>
        <row r="11">
          <cell r="B11" t="str">
            <v>Mfsd4a</v>
          </cell>
        </row>
        <row r="12">
          <cell r="B12" t="str">
            <v>Rasa1</v>
          </cell>
        </row>
        <row r="13">
          <cell r="B13" t="str">
            <v>Usp2</v>
          </cell>
        </row>
        <row r="14">
          <cell r="B14" t="str">
            <v>Filip1</v>
          </cell>
        </row>
        <row r="15">
          <cell r="B15" t="str">
            <v>Zfp687</v>
          </cell>
        </row>
        <row r="16">
          <cell r="B16" t="str">
            <v>Ppfia4</v>
          </cell>
        </row>
        <row r="17">
          <cell r="B17" t="str">
            <v>Ncl</v>
          </cell>
        </row>
        <row r="18">
          <cell r="B18" t="str">
            <v>Fat4</v>
          </cell>
        </row>
        <row r="19">
          <cell r="B19" t="str">
            <v>Lmo7</v>
          </cell>
        </row>
        <row r="20">
          <cell r="B20" t="str">
            <v>1110002E22Rik</v>
          </cell>
        </row>
        <row r="21">
          <cell r="B21" t="str">
            <v>Slc6a15</v>
          </cell>
        </row>
        <row r="22">
          <cell r="B22" t="str">
            <v>Ankrd34a</v>
          </cell>
        </row>
        <row r="23">
          <cell r="B23" t="str">
            <v>Lpl</v>
          </cell>
        </row>
        <row r="24">
          <cell r="B24" t="str">
            <v>Fbxo34</v>
          </cell>
        </row>
        <row r="25">
          <cell r="B25" t="str">
            <v>Cry2</v>
          </cell>
        </row>
        <row r="26">
          <cell r="B26" t="str">
            <v>Pdgfrb</v>
          </cell>
        </row>
        <row r="27">
          <cell r="B27" t="str">
            <v>Dchs1</v>
          </cell>
        </row>
        <row r="28">
          <cell r="B28" t="str">
            <v>Lars</v>
          </cell>
        </row>
        <row r="29">
          <cell r="B29" t="str">
            <v>Foxo1</v>
          </cell>
        </row>
        <row r="30">
          <cell r="B30" t="str">
            <v>Tmeff2</v>
          </cell>
        </row>
        <row r="31">
          <cell r="B31" t="str">
            <v>Kcnj2</v>
          </cell>
        </row>
        <row r="32">
          <cell r="B32" t="str">
            <v>Tpst2</v>
          </cell>
        </row>
        <row r="33">
          <cell r="B33" t="str">
            <v>Mocs1</v>
          </cell>
        </row>
        <row r="34">
          <cell r="B34" t="str">
            <v>Fhl2</v>
          </cell>
        </row>
        <row r="35">
          <cell r="B35" t="str">
            <v>Ptgs2</v>
          </cell>
        </row>
        <row r="36">
          <cell r="B36" t="str">
            <v>Slc39a6</v>
          </cell>
        </row>
        <row r="37">
          <cell r="B37" t="str">
            <v>Ptpre</v>
          </cell>
        </row>
        <row r="38">
          <cell r="B38" t="str">
            <v>Nim1k</v>
          </cell>
        </row>
        <row r="39">
          <cell r="B39" t="str">
            <v>Tbc1d10b</v>
          </cell>
        </row>
        <row r="40">
          <cell r="B40" t="str">
            <v>Gm8734</v>
          </cell>
        </row>
        <row r="41">
          <cell r="B41" t="str">
            <v>Txnrd3</v>
          </cell>
        </row>
        <row r="42">
          <cell r="B42" t="str">
            <v>Zfp941</v>
          </cell>
        </row>
        <row r="43">
          <cell r="B43" t="str">
            <v>Mcrs1</v>
          </cell>
        </row>
        <row r="44">
          <cell r="B44" t="str">
            <v>Vps11</v>
          </cell>
        </row>
        <row r="45">
          <cell r="B45" t="str">
            <v>Coro1a</v>
          </cell>
        </row>
        <row r="46">
          <cell r="B46" t="str">
            <v>Nsmce3</v>
          </cell>
        </row>
        <row r="47">
          <cell r="B47" t="str">
            <v>Unc5c</v>
          </cell>
        </row>
        <row r="48">
          <cell r="B48" t="str">
            <v>Lrfn3</v>
          </cell>
        </row>
        <row r="49">
          <cell r="B49" t="str">
            <v>Slitrk2</v>
          </cell>
        </row>
        <row r="50">
          <cell r="B50" t="str">
            <v>Mir9-3hg</v>
          </cell>
        </row>
        <row r="51">
          <cell r="B51" t="str">
            <v>Zfp536</v>
          </cell>
        </row>
        <row r="52">
          <cell r="B52" t="str">
            <v>Bahcc1</v>
          </cell>
        </row>
        <row r="53">
          <cell r="B53" t="str">
            <v>Insig1</v>
          </cell>
        </row>
        <row r="54">
          <cell r="B54" t="str">
            <v>Lhfpl4</v>
          </cell>
        </row>
        <row r="55">
          <cell r="B55" t="str">
            <v>G630018N14Rik</v>
          </cell>
        </row>
        <row r="56">
          <cell r="B56" t="str">
            <v>Adgrb3</v>
          </cell>
        </row>
        <row r="57">
          <cell r="B57" t="str">
            <v>6030419C18Rik</v>
          </cell>
        </row>
        <row r="58">
          <cell r="B58" t="str">
            <v>AC153801.2</v>
          </cell>
        </row>
        <row r="59">
          <cell r="B59" t="str">
            <v>Zfp608</v>
          </cell>
        </row>
        <row r="60">
          <cell r="B60" t="str">
            <v>Sp1</v>
          </cell>
        </row>
        <row r="61">
          <cell r="B61" t="str">
            <v>Bdnf</v>
          </cell>
        </row>
        <row r="62">
          <cell r="B62" t="str">
            <v>Braf</v>
          </cell>
        </row>
        <row r="63">
          <cell r="B63" t="str">
            <v>Ppp1r1a</v>
          </cell>
        </row>
        <row r="64">
          <cell r="B64" t="str">
            <v>Mfap3l</v>
          </cell>
        </row>
        <row r="65">
          <cell r="B65" t="str">
            <v>5930430L01Rik</v>
          </cell>
        </row>
        <row r="66">
          <cell r="B66" t="str">
            <v>Prob1</v>
          </cell>
        </row>
        <row r="67">
          <cell r="B67" t="str">
            <v>Syne1</v>
          </cell>
        </row>
        <row r="68">
          <cell r="B68" t="str">
            <v>Iqsec3</v>
          </cell>
        </row>
        <row r="69">
          <cell r="B69" t="str">
            <v>Zfand5</v>
          </cell>
        </row>
        <row r="70">
          <cell r="B70" t="str">
            <v>Gm26538</v>
          </cell>
        </row>
        <row r="71">
          <cell r="B71" t="str">
            <v>Ildr2</v>
          </cell>
        </row>
        <row r="72">
          <cell r="B72" t="str">
            <v>Wwc1</v>
          </cell>
        </row>
        <row r="73">
          <cell r="B73" t="str">
            <v>U2surp</v>
          </cell>
        </row>
        <row r="74">
          <cell r="B74" t="str">
            <v>Ddx46</v>
          </cell>
        </row>
        <row r="75">
          <cell r="B75" t="str">
            <v>Mob1b</v>
          </cell>
        </row>
        <row r="76">
          <cell r="B76" t="str">
            <v>Armcx4</v>
          </cell>
        </row>
        <row r="77">
          <cell r="B77" t="str">
            <v>Amdhd2</v>
          </cell>
        </row>
        <row r="78">
          <cell r="B78" t="str">
            <v>Kif26a</v>
          </cell>
        </row>
        <row r="79">
          <cell r="B79" t="str">
            <v>Bend3</v>
          </cell>
        </row>
        <row r="80">
          <cell r="B80" t="str">
            <v>Adamts3</v>
          </cell>
        </row>
        <row r="81">
          <cell r="B81" t="str">
            <v>Lss</v>
          </cell>
        </row>
        <row r="82">
          <cell r="B82" t="str">
            <v>Map7d1</v>
          </cell>
        </row>
        <row r="83">
          <cell r="B83" t="str">
            <v>Ipo13</v>
          </cell>
        </row>
        <row r="84">
          <cell r="B84" t="str">
            <v>Celsr1</v>
          </cell>
        </row>
        <row r="85">
          <cell r="B85" t="str">
            <v>Btbd3</v>
          </cell>
        </row>
        <row r="86">
          <cell r="B86" t="str">
            <v>Klhdc9</v>
          </cell>
        </row>
        <row r="87">
          <cell r="B87" t="str">
            <v>Arhgap21</v>
          </cell>
        </row>
        <row r="88">
          <cell r="B88" t="str">
            <v>Dcaf7</v>
          </cell>
        </row>
        <row r="89">
          <cell r="B89" t="str">
            <v>Armcx5</v>
          </cell>
        </row>
        <row r="90">
          <cell r="B90" t="str">
            <v>2010300C02Rik</v>
          </cell>
        </row>
        <row r="91">
          <cell r="B91" t="str">
            <v>Trappc9</v>
          </cell>
        </row>
        <row r="92">
          <cell r="B92" t="str">
            <v>Gm13375</v>
          </cell>
        </row>
        <row r="93">
          <cell r="B93" t="str">
            <v>Vangl2</v>
          </cell>
        </row>
        <row r="94">
          <cell r="B94" t="str">
            <v>Cdc40</v>
          </cell>
        </row>
        <row r="95">
          <cell r="B95" t="str">
            <v>Fam131a</v>
          </cell>
        </row>
        <row r="96">
          <cell r="B96" t="str">
            <v>Rbm3</v>
          </cell>
        </row>
        <row r="97">
          <cell r="B97" t="str">
            <v>Wbp11</v>
          </cell>
        </row>
        <row r="98">
          <cell r="B98" t="str">
            <v>Slit2</v>
          </cell>
        </row>
        <row r="99">
          <cell r="B99" t="str">
            <v>Uvssa</v>
          </cell>
        </row>
        <row r="100">
          <cell r="B100" t="str">
            <v>Car7</v>
          </cell>
        </row>
        <row r="101">
          <cell r="B101" t="str">
            <v>Ldlr</v>
          </cell>
        </row>
        <row r="102">
          <cell r="B102" t="str">
            <v>Xrn1</v>
          </cell>
        </row>
        <row r="103">
          <cell r="B103" t="str">
            <v>Pald1</v>
          </cell>
        </row>
        <row r="104">
          <cell r="B104" t="str">
            <v>0610040B10Rik</v>
          </cell>
        </row>
        <row r="105">
          <cell r="B105" t="str">
            <v>Ntng2</v>
          </cell>
        </row>
        <row r="106">
          <cell r="B106" t="str">
            <v>Cdc42bpb</v>
          </cell>
        </row>
        <row r="107">
          <cell r="B107" t="str">
            <v>Wdr6</v>
          </cell>
        </row>
        <row r="108">
          <cell r="B108" t="str">
            <v>Fam110b</v>
          </cell>
        </row>
        <row r="109">
          <cell r="B109" t="str">
            <v>Ninl</v>
          </cell>
        </row>
        <row r="110">
          <cell r="B110" t="str">
            <v>Cstad</v>
          </cell>
        </row>
        <row r="111">
          <cell r="B111" t="str">
            <v>Ranbp17</v>
          </cell>
        </row>
        <row r="112">
          <cell r="B112" t="str">
            <v>Ndst1</v>
          </cell>
        </row>
        <row r="113">
          <cell r="B113" t="str">
            <v>Zyx</v>
          </cell>
        </row>
        <row r="114">
          <cell r="B114" t="str">
            <v>Ighmbp2</v>
          </cell>
        </row>
        <row r="115">
          <cell r="B115" t="str">
            <v>Hdac7</v>
          </cell>
        </row>
        <row r="116">
          <cell r="B116" t="str">
            <v>Scaf1</v>
          </cell>
        </row>
        <row r="117">
          <cell r="B117" t="str">
            <v>Lacc1</v>
          </cell>
        </row>
        <row r="118">
          <cell r="B118" t="str">
            <v>Mnt</v>
          </cell>
        </row>
        <row r="119">
          <cell r="B119" t="str">
            <v>Zfpm2</v>
          </cell>
        </row>
        <row r="120">
          <cell r="B120" t="str">
            <v>Actg1</v>
          </cell>
        </row>
        <row r="121">
          <cell r="B121" t="str">
            <v>Lrrc29</v>
          </cell>
        </row>
        <row r="122">
          <cell r="B122" t="str">
            <v>Kcnj3</v>
          </cell>
        </row>
        <row r="123">
          <cell r="B123" t="str">
            <v>Cd276</v>
          </cell>
        </row>
        <row r="124">
          <cell r="B124" t="str">
            <v>Hunk</v>
          </cell>
        </row>
        <row r="125">
          <cell r="B125" t="str">
            <v>Tmem201</v>
          </cell>
        </row>
        <row r="126">
          <cell r="B126" t="str">
            <v>Nucks1</v>
          </cell>
        </row>
        <row r="127">
          <cell r="B127" t="str">
            <v>Phf14</v>
          </cell>
        </row>
        <row r="128">
          <cell r="B128" t="str">
            <v>4930570G19Rik</v>
          </cell>
        </row>
        <row r="129">
          <cell r="B129" t="str">
            <v>Znrf3</v>
          </cell>
        </row>
        <row r="130">
          <cell r="B130" t="str">
            <v>Snx7</v>
          </cell>
        </row>
        <row r="131">
          <cell r="B131" t="str">
            <v>Galnt5</v>
          </cell>
        </row>
        <row r="132">
          <cell r="B132" t="str">
            <v>Tbc1d8b</v>
          </cell>
        </row>
        <row r="133">
          <cell r="B133" t="str">
            <v>Ttc28</v>
          </cell>
        </row>
        <row r="134">
          <cell r="B134" t="str">
            <v>Ddx3x</v>
          </cell>
        </row>
        <row r="135">
          <cell r="B135" t="str">
            <v>Daglb</v>
          </cell>
        </row>
        <row r="136">
          <cell r="B136" t="str">
            <v>Lca5</v>
          </cell>
        </row>
        <row r="137">
          <cell r="B137" t="str">
            <v>Kcnv1</v>
          </cell>
        </row>
        <row r="138">
          <cell r="B138" t="str">
            <v>Fgd1</v>
          </cell>
        </row>
        <row r="139">
          <cell r="B139" t="str">
            <v>Heyl</v>
          </cell>
        </row>
        <row r="140">
          <cell r="B140" t="str">
            <v>Wdr26</v>
          </cell>
        </row>
        <row r="141">
          <cell r="B141" t="str">
            <v>Eml2</v>
          </cell>
        </row>
        <row r="142">
          <cell r="B142" t="str">
            <v>Dcxr</v>
          </cell>
        </row>
        <row r="143">
          <cell r="B143" t="str">
            <v>Kcnj4</v>
          </cell>
        </row>
        <row r="144">
          <cell r="B144" t="str">
            <v>Afap1</v>
          </cell>
        </row>
        <row r="145">
          <cell r="B145" t="str">
            <v>Nlgn1</v>
          </cell>
        </row>
        <row r="146">
          <cell r="B146" t="str">
            <v>9930014A18Rik</v>
          </cell>
        </row>
        <row r="147">
          <cell r="B147" t="str">
            <v>Pigk</v>
          </cell>
        </row>
        <row r="148">
          <cell r="B148" t="str">
            <v>Plekho2</v>
          </cell>
        </row>
        <row r="149">
          <cell r="B149" t="str">
            <v>Thsd7a</v>
          </cell>
        </row>
        <row r="150">
          <cell r="B150" t="str">
            <v>Ssx2ip</v>
          </cell>
        </row>
        <row r="151">
          <cell r="B151" t="str">
            <v>Gm27030</v>
          </cell>
        </row>
        <row r="152">
          <cell r="B152" t="str">
            <v>Cd180</v>
          </cell>
        </row>
        <row r="153">
          <cell r="B153" t="str">
            <v>Gm43622</v>
          </cell>
        </row>
        <row r="154">
          <cell r="B154" t="str">
            <v>Chd4</v>
          </cell>
        </row>
        <row r="155">
          <cell r="B155" t="str">
            <v>Dlgap1</v>
          </cell>
        </row>
        <row r="156">
          <cell r="B156" t="str">
            <v>Nploc4</v>
          </cell>
        </row>
        <row r="157">
          <cell r="B157" t="str">
            <v>Plppr4</v>
          </cell>
        </row>
        <row r="158">
          <cell r="B158" t="str">
            <v>Wwc2</v>
          </cell>
        </row>
        <row r="159">
          <cell r="B159" t="str">
            <v>Nr3c2</v>
          </cell>
        </row>
        <row r="160">
          <cell r="B160" t="str">
            <v>Cpeb4</v>
          </cell>
        </row>
        <row r="161">
          <cell r="B161" t="str">
            <v>Cic</v>
          </cell>
        </row>
        <row r="162">
          <cell r="B162" t="str">
            <v>Chrna7</v>
          </cell>
        </row>
        <row r="163">
          <cell r="B163" t="str">
            <v>Cabin1</v>
          </cell>
        </row>
        <row r="164">
          <cell r="B164" t="str">
            <v>Maoa</v>
          </cell>
        </row>
        <row r="165">
          <cell r="B165" t="str">
            <v>Gpc4</v>
          </cell>
        </row>
        <row r="166">
          <cell r="B166" t="str">
            <v>2900026A02Rik</v>
          </cell>
        </row>
        <row r="167">
          <cell r="B167" t="str">
            <v>Tiam1</v>
          </cell>
        </row>
        <row r="168">
          <cell r="B168" t="str">
            <v>Luc7l2</v>
          </cell>
        </row>
        <row r="169">
          <cell r="B169" t="str">
            <v>Gm45262</v>
          </cell>
        </row>
        <row r="170">
          <cell r="B170" t="str">
            <v>Gpr22</v>
          </cell>
        </row>
        <row r="171">
          <cell r="B171" t="str">
            <v>Stim1</v>
          </cell>
        </row>
        <row r="172">
          <cell r="B172" t="str">
            <v>Zbtb22</v>
          </cell>
        </row>
        <row r="173">
          <cell r="B173" t="str">
            <v>AI593442</v>
          </cell>
        </row>
        <row r="174">
          <cell r="B174" t="str">
            <v>Ankrd28</v>
          </cell>
        </row>
        <row r="175">
          <cell r="B175" t="str">
            <v>A230059L01Rik</v>
          </cell>
        </row>
        <row r="176">
          <cell r="B176" t="str">
            <v>Mtss1l</v>
          </cell>
        </row>
        <row r="177">
          <cell r="B177" t="str">
            <v>Gm43000</v>
          </cell>
        </row>
        <row r="178">
          <cell r="B178" t="str">
            <v>AU020206</v>
          </cell>
        </row>
        <row r="179">
          <cell r="B179" t="str">
            <v>Garem1</v>
          </cell>
        </row>
        <row r="180">
          <cell r="B180" t="str">
            <v>Ddx21</v>
          </cell>
        </row>
        <row r="181">
          <cell r="B181" t="str">
            <v>Abr</v>
          </cell>
        </row>
        <row r="182">
          <cell r="B182" t="str">
            <v>Anp32e</v>
          </cell>
        </row>
        <row r="183">
          <cell r="B183" t="str">
            <v>St6galnac5</v>
          </cell>
        </row>
        <row r="184">
          <cell r="B184" t="str">
            <v>Gm38391</v>
          </cell>
        </row>
        <row r="185">
          <cell r="B185" t="str">
            <v>Gm15566</v>
          </cell>
        </row>
        <row r="186">
          <cell r="B186" t="str">
            <v>Fgf13</v>
          </cell>
        </row>
        <row r="187">
          <cell r="B187" t="str">
            <v>Sall2</v>
          </cell>
        </row>
        <row r="188">
          <cell r="B188" t="str">
            <v>D430040D24Rik</v>
          </cell>
        </row>
        <row r="189">
          <cell r="B189" t="str">
            <v>Mir22hg</v>
          </cell>
        </row>
        <row r="190">
          <cell r="B190" t="str">
            <v>Oacyl</v>
          </cell>
        </row>
        <row r="191">
          <cell r="B191" t="str">
            <v>Alms1-ps2</v>
          </cell>
        </row>
        <row r="192">
          <cell r="B192" t="str">
            <v>Zdhhc8</v>
          </cell>
        </row>
        <row r="193">
          <cell r="B193" t="str">
            <v>Furin</v>
          </cell>
        </row>
        <row r="194">
          <cell r="B194" t="str">
            <v>Washc2</v>
          </cell>
        </row>
        <row r="195">
          <cell r="B195" t="str">
            <v>Wiz</v>
          </cell>
        </row>
        <row r="196">
          <cell r="B196" t="str">
            <v>Ldlrad4</v>
          </cell>
        </row>
        <row r="197">
          <cell r="B197" t="str">
            <v>Slitrk5</v>
          </cell>
        </row>
        <row r="198">
          <cell r="B198" t="str">
            <v>Etv1</v>
          </cell>
        </row>
        <row r="199">
          <cell r="B199" t="str">
            <v>Aatk</v>
          </cell>
        </row>
        <row r="200">
          <cell r="B200" t="str">
            <v>Abhd17c</v>
          </cell>
        </row>
        <row r="201">
          <cell r="B201" t="str">
            <v>Nudcd3</v>
          </cell>
        </row>
        <row r="202">
          <cell r="B202" t="str">
            <v>Scarb1</v>
          </cell>
        </row>
        <row r="203">
          <cell r="B203" t="str">
            <v>Gm44240</v>
          </cell>
        </row>
        <row r="204">
          <cell r="B204" t="str">
            <v>Trpm4</v>
          </cell>
        </row>
        <row r="205">
          <cell r="B205" t="str">
            <v>Nr4a3</v>
          </cell>
        </row>
        <row r="206">
          <cell r="B206" t="str">
            <v>Mvd</v>
          </cell>
        </row>
        <row r="207">
          <cell r="B207" t="str">
            <v>Gm42864</v>
          </cell>
        </row>
        <row r="208">
          <cell r="B208" t="str">
            <v>Frmpd3</v>
          </cell>
        </row>
        <row r="209">
          <cell r="B209" t="str">
            <v>Arhgef9</v>
          </cell>
        </row>
        <row r="210">
          <cell r="B210" t="str">
            <v>Mtdh</v>
          </cell>
        </row>
        <row r="211">
          <cell r="B211" t="str">
            <v>Kalrn</v>
          </cell>
        </row>
        <row r="212">
          <cell r="B212" t="str">
            <v>Eef2k</v>
          </cell>
        </row>
        <row r="213">
          <cell r="B213" t="str">
            <v>Gga2</v>
          </cell>
        </row>
        <row r="214">
          <cell r="B214" t="str">
            <v>1700001L05Rik</v>
          </cell>
        </row>
        <row r="215">
          <cell r="B215" t="str">
            <v>Kcnk10</v>
          </cell>
        </row>
        <row r="216">
          <cell r="B216" t="str">
            <v>Acsl1</v>
          </cell>
        </row>
        <row r="217">
          <cell r="B217" t="str">
            <v>Hdac6</v>
          </cell>
        </row>
        <row r="218">
          <cell r="B218" t="str">
            <v>Slco5a1</v>
          </cell>
        </row>
        <row r="219">
          <cell r="B219" t="str">
            <v>Cog7</v>
          </cell>
        </row>
        <row r="220">
          <cell r="B220" t="str">
            <v>Cand2</v>
          </cell>
        </row>
        <row r="221">
          <cell r="B221" t="str">
            <v>Zfp512b</v>
          </cell>
        </row>
        <row r="222">
          <cell r="B222" t="str">
            <v>Bcar1</v>
          </cell>
        </row>
        <row r="223">
          <cell r="B223" t="str">
            <v>Gm10156</v>
          </cell>
        </row>
        <row r="224">
          <cell r="B224" t="str">
            <v>Zc3h12b</v>
          </cell>
        </row>
        <row r="225">
          <cell r="B225" t="str">
            <v>A730017C20Rik</v>
          </cell>
        </row>
        <row r="226">
          <cell r="B226" t="str">
            <v>Kat6a</v>
          </cell>
        </row>
        <row r="227">
          <cell r="B227" t="str">
            <v>Hnrnpa1</v>
          </cell>
        </row>
        <row r="228">
          <cell r="B228" t="str">
            <v>Slc11a2</v>
          </cell>
        </row>
        <row r="229">
          <cell r="B229" t="str">
            <v>Spata24</v>
          </cell>
        </row>
        <row r="230">
          <cell r="B230" t="str">
            <v>Mgat3</v>
          </cell>
        </row>
        <row r="231">
          <cell r="B231" t="str">
            <v>Tmem132b</v>
          </cell>
        </row>
        <row r="232">
          <cell r="B232" t="str">
            <v>Pik3r2</v>
          </cell>
        </row>
        <row r="233">
          <cell r="B233" t="str">
            <v>Uri1</v>
          </cell>
        </row>
        <row r="234">
          <cell r="B234" t="str">
            <v>Dlgap3</v>
          </cell>
        </row>
        <row r="235">
          <cell r="B235" t="str">
            <v>Slco2a1</v>
          </cell>
        </row>
        <row r="236">
          <cell r="B236" t="str">
            <v>Apbb2</v>
          </cell>
        </row>
        <row r="237">
          <cell r="B237" t="str">
            <v>Gm44443</v>
          </cell>
        </row>
        <row r="238">
          <cell r="B238" t="str">
            <v>Ptprz1</v>
          </cell>
        </row>
        <row r="239">
          <cell r="B239" t="str">
            <v>Fbxo48</v>
          </cell>
        </row>
        <row r="240">
          <cell r="B240" t="str">
            <v>Relb</v>
          </cell>
        </row>
        <row r="241">
          <cell r="B241" t="str">
            <v>Fntb</v>
          </cell>
        </row>
        <row r="242">
          <cell r="B242" t="str">
            <v>Fam84b</v>
          </cell>
        </row>
        <row r="243">
          <cell r="B243" t="str">
            <v>Pskh1</v>
          </cell>
        </row>
        <row r="244">
          <cell r="B244" t="str">
            <v>Ache</v>
          </cell>
        </row>
        <row r="245">
          <cell r="B245" t="str">
            <v>Ino80</v>
          </cell>
        </row>
        <row r="246">
          <cell r="B246" t="str">
            <v>Epc2</v>
          </cell>
        </row>
        <row r="247">
          <cell r="B247" t="str">
            <v>Npy1r</v>
          </cell>
        </row>
        <row r="248">
          <cell r="B248" t="str">
            <v>Kif21b</v>
          </cell>
        </row>
        <row r="249">
          <cell r="B249" t="str">
            <v>Kcnh3</v>
          </cell>
        </row>
        <row r="250">
          <cell r="B250" t="str">
            <v>Notch3</v>
          </cell>
        </row>
        <row r="251">
          <cell r="B251" t="str">
            <v>Me3</v>
          </cell>
        </row>
        <row r="252">
          <cell r="B252" t="str">
            <v>Cerkl</v>
          </cell>
        </row>
        <row r="253">
          <cell r="B253" t="str">
            <v>Zkscan17</v>
          </cell>
        </row>
        <row r="254">
          <cell r="B254" t="str">
            <v>Nfix</v>
          </cell>
        </row>
        <row r="255">
          <cell r="B255" t="str">
            <v>Ddr1</v>
          </cell>
        </row>
        <row r="256">
          <cell r="B256" t="str">
            <v>Myo16</v>
          </cell>
        </row>
        <row r="257">
          <cell r="B257" t="str">
            <v>Nrde2</v>
          </cell>
        </row>
        <row r="258">
          <cell r="B258" t="str">
            <v>Hdac9</v>
          </cell>
        </row>
        <row r="259">
          <cell r="B259" t="str">
            <v>Purb</v>
          </cell>
        </row>
        <row r="260">
          <cell r="B260" t="str">
            <v>Tfrc</v>
          </cell>
        </row>
        <row r="261">
          <cell r="B261" t="str">
            <v>AC158630.1</v>
          </cell>
        </row>
        <row r="262">
          <cell r="B262" t="str">
            <v>Slitrk3</v>
          </cell>
        </row>
        <row r="263">
          <cell r="B263" t="str">
            <v>Sptb</v>
          </cell>
        </row>
        <row r="264">
          <cell r="B264" t="str">
            <v>Megf9</v>
          </cell>
        </row>
        <row r="265">
          <cell r="B265" t="str">
            <v>Usp6nl</v>
          </cell>
        </row>
        <row r="266">
          <cell r="B266" t="str">
            <v>Lmna</v>
          </cell>
        </row>
        <row r="267">
          <cell r="B267" t="str">
            <v>Slc25a12</v>
          </cell>
        </row>
        <row r="268">
          <cell r="B268" t="str">
            <v>Pcif1</v>
          </cell>
        </row>
        <row r="269">
          <cell r="B269" t="str">
            <v>Nom1</v>
          </cell>
        </row>
        <row r="270">
          <cell r="B270" t="str">
            <v>Tril</v>
          </cell>
        </row>
        <row r="271">
          <cell r="B271" t="str">
            <v>Gm13569</v>
          </cell>
        </row>
        <row r="272">
          <cell r="B272" t="str">
            <v>Nckap5</v>
          </cell>
        </row>
        <row r="273">
          <cell r="B273" t="str">
            <v>Cx3cr1</v>
          </cell>
        </row>
        <row r="274">
          <cell r="B274" t="str">
            <v>Nectin3</v>
          </cell>
        </row>
        <row r="275">
          <cell r="B275" t="str">
            <v>Smpd3</v>
          </cell>
        </row>
        <row r="276">
          <cell r="B276" t="str">
            <v>Ahcy</v>
          </cell>
        </row>
        <row r="277">
          <cell r="B277" t="str">
            <v>Hs3st1</v>
          </cell>
        </row>
        <row r="278">
          <cell r="B278" t="str">
            <v>AC166996.1</v>
          </cell>
        </row>
        <row r="279">
          <cell r="B279" t="str">
            <v>Lsamp</v>
          </cell>
        </row>
        <row r="280">
          <cell r="B280" t="str">
            <v>Prrc1</v>
          </cell>
        </row>
        <row r="281">
          <cell r="B281" t="str">
            <v>Gm43790</v>
          </cell>
        </row>
        <row r="282">
          <cell r="B282" t="str">
            <v>H2-K1</v>
          </cell>
        </row>
        <row r="283">
          <cell r="B283" t="str">
            <v>Gm42770</v>
          </cell>
        </row>
        <row r="284">
          <cell r="B284" t="str">
            <v>Itga8</v>
          </cell>
        </row>
        <row r="285">
          <cell r="B285" t="str">
            <v>Gm37140</v>
          </cell>
        </row>
        <row r="286">
          <cell r="B286" t="str">
            <v>Ppm1g</v>
          </cell>
        </row>
        <row r="287">
          <cell r="B287" t="str">
            <v>Rap2b</v>
          </cell>
        </row>
        <row r="288">
          <cell r="B288" t="str">
            <v>Rad51ap2</v>
          </cell>
        </row>
        <row r="289">
          <cell r="B289" t="str">
            <v>Pcdhb9</v>
          </cell>
        </row>
        <row r="290">
          <cell r="B290" t="str">
            <v>Nhlrc3</v>
          </cell>
        </row>
        <row r="291">
          <cell r="B291" t="str">
            <v>Gm43702</v>
          </cell>
        </row>
        <row r="292">
          <cell r="B292" t="str">
            <v>Pcm1</v>
          </cell>
        </row>
        <row r="293">
          <cell r="B293" t="str">
            <v>Dnah17</v>
          </cell>
        </row>
        <row r="294">
          <cell r="B294" t="str">
            <v>Gm16835</v>
          </cell>
        </row>
        <row r="295">
          <cell r="B295" t="str">
            <v>Gm26871</v>
          </cell>
        </row>
        <row r="296">
          <cell r="B296" t="str">
            <v>Tmem2</v>
          </cell>
        </row>
        <row r="297">
          <cell r="B297" t="str">
            <v>Itpripl2</v>
          </cell>
        </row>
        <row r="298">
          <cell r="B298" t="str">
            <v>Cacna1b</v>
          </cell>
        </row>
        <row r="299">
          <cell r="B299" t="str">
            <v>Gm9916</v>
          </cell>
        </row>
        <row r="300">
          <cell r="B300" t="str">
            <v>Pcdhgc3</v>
          </cell>
        </row>
        <row r="301">
          <cell r="B301" t="str">
            <v>Fnbp4</v>
          </cell>
        </row>
        <row r="302">
          <cell r="B302" t="str">
            <v>Map4</v>
          </cell>
        </row>
        <row r="303">
          <cell r="B303" t="str">
            <v>Elmod1</v>
          </cell>
        </row>
        <row r="304">
          <cell r="B304" t="str">
            <v>Prkce</v>
          </cell>
        </row>
        <row r="305">
          <cell r="B305" t="str">
            <v>Inpp5f</v>
          </cell>
        </row>
        <row r="306">
          <cell r="B306" t="str">
            <v>Meaf6</v>
          </cell>
        </row>
        <row r="307">
          <cell r="B307" t="str">
            <v>Uap1l1</v>
          </cell>
        </row>
        <row r="308">
          <cell r="B308" t="str">
            <v>Henmt1</v>
          </cell>
        </row>
        <row r="309">
          <cell r="B309" t="str">
            <v>H3f3b</v>
          </cell>
        </row>
        <row r="310">
          <cell r="B310" t="str">
            <v>Gm44231</v>
          </cell>
        </row>
        <row r="311">
          <cell r="B311" t="str">
            <v>Scd1</v>
          </cell>
        </row>
        <row r="312">
          <cell r="B312" t="str">
            <v>Rexo1</v>
          </cell>
        </row>
        <row r="313">
          <cell r="B313" t="str">
            <v>Psme4</v>
          </cell>
        </row>
        <row r="314">
          <cell r="B314" t="str">
            <v>Gm15453</v>
          </cell>
        </row>
        <row r="315">
          <cell r="B315" t="str">
            <v>Slc2a10</v>
          </cell>
        </row>
        <row r="316">
          <cell r="B316" t="str">
            <v>Creb5</v>
          </cell>
        </row>
        <row r="317">
          <cell r="B317" t="str">
            <v>Mmp21</v>
          </cell>
        </row>
        <row r="318">
          <cell r="B318" t="str">
            <v>9030407P20Rik</v>
          </cell>
        </row>
        <row r="319">
          <cell r="B319" t="str">
            <v>Haghl</v>
          </cell>
        </row>
        <row r="320">
          <cell r="B320" t="str">
            <v>Srebf1</v>
          </cell>
        </row>
        <row r="321">
          <cell r="B321" t="str">
            <v>Plcd1</v>
          </cell>
        </row>
        <row r="322">
          <cell r="B322" t="str">
            <v>Zkscan2</v>
          </cell>
        </row>
        <row r="323">
          <cell r="B323" t="str">
            <v>Casp9</v>
          </cell>
        </row>
        <row r="324">
          <cell r="B324" t="str">
            <v>Mfn2</v>
          </cell>
        </row>
        <row r="325">
          <cell r="B325" t="str">
            <v>Nlgn3</v>
          </cell>
        </row>
        <row r="326">
          <cell r="B326" t="str">
            <v>Dzip1l</v>
          </cell>
        </row>
        <row r="327">
          <cell r="B327" t="str">
            <v>Nln</v>
          </cell>
        </row>
        <row r="328">
          <cell r="B328" t="str">
            <v>Wdr59</v>
          </cell>
        </row>
        <row r="329">
          <cell r="B329" t="str">
            <v>Hk1</v>
          </cell>
        </row>
        <row r="330">
          <cell r="B330" t="str">
            <v>Ltbp4</v>
          </cell>
        </row>
        <row r="331">
          <cell r="B331" t="str">
            <v>Kcnd3</v>
          </cell>
        </row>
        <row r="332">
          <cell r="B332" t="str">
            <v>Rnf214</v>
          </cell>
        </row>
        <row r="333">
          <cell r="B333" t="str">
            <v>Mpdu1</v>
          </cell>
        </row>
        <row r="334">
          <cell r="B334" t="str">
            <v>Sulf2</v>
          </cell>
        </row>
        <row r="335">
          <cell r="B335" t="str">
            <v>Vmn2r1</v>
          </cell>
        </row>
        <row r="336">
          <cell r="B336" t="str">
            <v>Ccne1</v>
          </cell>
        </row>
        <row r="337">
          <cell r="B337" t="str">
            <v>Ssr1</v>
          </cell>
        </row>
        <row r="338">
          <cell r="B338" t="str">
            <v>Slc26a2</v>
          </cell>
        </row>
        <row r="339">
          <cell r="B339" t="str">
            <v>Klhl40</v>
          </cell>
        </row>
        <row r="340">
          <cell r="B340" t="str">
            <v>Haus7</v>
          </cell>
        </row>
        <row r="341">
          <cell r="B341" t="str">
            <v>Atad5</v>
          </cell>
        </row>
        <row r="342">
          <cell r="B342" t="str">
            <v>Pcdh1</v>
          </cell>
        </row>
        <row r="343">
          <cell r="B343" t="str">
            <v>Neto1</v>
          </cell>
        </row>
        <row r="344">
          <cell r="B344" t="str">
            <v>Ap2a1</v>
          </cell>
        </row>
        <row r="345">
          <cell r="B345" t="str">
            <v>Cdkl5</v>
          </cell>
        </row>
        <row r="346">
          <cell r="B346" t="str">
            <v>4921511H03Rik</v>
          </cell>
        </row>
        <row r="347">
          <cell r="B347" t="str">
            <v>C1ra</v>
          </cell>
        </row>
        <row r="348">
          <cell r="B348" t="str">
            <v>Paqr6</v>
          </cell>
        </row>
        <row r="349">
          <cell r="B349" t="str">
            <v>Pofut1</v>
          </cell>
        </row>
        <row r="350">
          <cell r="B350" t="str">
            <v>Kirrel3</v>
          </cell>
        </row>
        <row r="351">
          <cell r="B351" t="str">
            <v>Ppp4r1l-ps</v>
          </cell>
        </row>
        <row r="352">
          <cell r="B352" t="str">
            <v>Sorbs3</v>
          </cell>
        </row>
        <row r="353">
          <cell r="B353" t="str">
            <v>Gas7</v>
          </cell>
        </row>
        <row r="354">
          <cell r="B354" t="str">
            <v>Setd5</v>
          </cell>
        </row>
        <row r="355">
          <cell r="B355" t="str">
            <v>Tmem200a</v>
          </cell>
        </row>
        <row r="356">
          <cell r="B356" t="str">
            <v>Igsf3</v>
          </cell>
        </row>
        <row r="357">
          <cell r="B357" t="str">
            <v>Zfp318</v>
          </cell>
        </row>
        <row r="358">
          <cell r="B358" t="str">
            <v>Klf13</v>
          </cell>
        </row>
        <row r="359">
          <cell r="B359" t="str">
            <v>Mir691</v>
          </cell>
        </row>
        <row r="360">
          <cell r="B360" t="str">
            <v>Gm43375</v>
          </cell>
        </row>
        <row r="361">
          <cell r="B361" t="str">
            <v>Phf20</v>
          </cell>
        </row>
        <row r="362">
          <cell r="B362" t="str">
            <v>Gm15834</v>
          </cell>
        </row>
        <row r="363">
          <cell r="B363" t="str">
            <v>Gm19932</v>
          </cell>
        </row>
        <row r="364">
          <cell r="B364" t="str">
            <v>D5Ertd579e</v>
          </cell>
        </row>
        <row r="365">
          <cell r="B365" t="str">
            <v>BC037032</v>
          </cell>
        </row>
        <row r="366">
          <cell r="B366" t="str">
            <v>Smtn</v>
          </cell>
        </row>
        <row r="367">
          <cell r="B367" t="str">
            <v>Cask</v>
          </cell>
        </row>
        <row r="368">
          <cell r="B368" t="str">
            <v>Fgd3</v>
          </cell>
        </row>
        <row r="369">
          <cell r="B369" t="str">
            <v>Adamts1</v>
          </cell>
        </row>
        <row r="370">
          <cell r="B370" t="str">
            <v>Tmod1</v>
          </cell>
        </row>
        <row r="371">
          <cell r="B371" t="str">
            <v>Bre</v>
          </cell>
        </row>
        <row r="372">
          <cell r="B372" t="str">
            <v>Trim62</v>
          </cell>
        </row>
        <row r="373">
          <cell r="B373" t="str">
            <v>Eya2</v>
          </cell>
        </row>
        <row r="374">
          <cell r="B374" t="str">
            <v>Cacna1e</v>
          </cell>
        </row>
        <row r="375">
          <cell r="B375" t="str">
            <v>Ncam1</v>
          </cell>
        </row>
        <row r="376">
          <cell r="B376" t="str">
            <v>Acsf2</v>
          </cell>
        </row>
        <row r="377">
          <cell r="B377" t="str">
            <v>Gm15688</v>
          </cell>
        </row>
        <row r="378">
          <cell r="B378" t="str">
            <v>Lgi1</v>
          </cell>
        </row>
        <row r="379">
          <cell r="B379" t="str">
            <v>Fmnl3</v>
          </cell>
        </row>
        <row r="380">
          <cell r="B380" t="str">
            <v>Wbscr27</v>
          </cell>
        </row>
        <row r="381">
          <cell r="B381" t="str">
            <v>Zfp423</v>
          </cell>
        </row>
        <row r="382">
          <cell r="B382" t="str">
            <v>Marveld1</v>
          </cell>
        </row>
        <row r="383">
          <cell r="B383" t="str">
            <v>Fmnl2</v>
          </cell>
        </row>
        <row r="384">
          <cell r="B384" t="str">
            <v>Asb1</v>
          </cell>
        </row>
        <row r="385">
          <cell r="B385" t="str">
            <v>Htatsf1</v>
          </cell>
        </row>
        <row r="386">
          <cell r="B386" t="str">
            <v>Gm43662</v>
          </cell>
        </row>
        <row r="387">
          <cell r="B387" t="str">
            <v>Sox9</v>
          </cell>
        </row>
        <row r="388">
          <cell r="B388" t="str">
            <v>Peli2</v>
          </cell>
        </row>
        <row r="389">
          <cell r="B389" t="str">
            <v>Adam23</v>
          </cell>
        </row>
        <row r="390">
          <cell r="B390" t="str">
            <v>Rev3l</v>
          </cell>
        </row>
        <row r="391">
          <cell r="B391" t="str">
            <v>AC153494.1</v>
          </cell>
        </row>
        <row r="392">
          <cell r="B392" t="str">
            <v>Jph1</v>
          </cell>
        </row>
        <row r="393">
          <cell r="B393" t="str">
            <v>Nectin4</v>
          </cell>
        </row>
        <row r="394">
          <cell r="B394" t="str">
            <v>Man2b2</v>
          </cell>
        </row>
        <row r="395">
          <cell r="B395" t="str">
            <v>Gpatch8</v>
          </cell>
        </row>
        <row r="396">
          <cell r="B396" t="str">
            <v>Mink1</v>
          </cell>
        </row>
        <row r="397">
          <cell r="B397" t="str">
            <v>Lrrc42</v>
          </cell>
        </row>
        <row r="398">
          <cell r="B398" t="str">
            <v>Zfp810</v>
          </cell>
        </row>
        <row r="399">
          <cell r="B399" t="str">
            <v>Apba2</v>
          </cell>
        </row>
        <row r="400">
          <cell r="B400" t="str">
            <v>Rbbp6</v>
          </cell>
        </row>
        <row r="401">
          <cell r="B401" t="str">
            <v>Usp34</v>
          </cell>
        </row>
        <row r="402">
          <cell r="B402" t="str">
            <v>Dctn2</v>
          </cell>
        </row>
        <row r="403">
          <cell r="B403" t="str">
            <v>AC133934.2</v>
          </cell>
        </row>
        <row r="404">
          <cell r="B404" t="str">
            <v>Mbd5</v>
          </cell>
        </row>
        <row r="405">
          <cell r="B405" t="str">
            <v>Pstpip2</v>
          </cell>
        </row>
        <row r="406">
          <cell r="B406" t="str">
            <v>Best3</v>
          </cell>
        </row>
        <row r="407">
          <cell r="B407" t="str">
            <v>Gm26901</v>
          </cell>
        </row>
        <row r="408">
          <cell r="B408" t="str">
            <v>Gm45264</v>
          </cell>
        </row>
        <row r="409">
          <cell r="B409" t="str">
            <v>Gaa</v>
          </cell>
        </row>
        <row r="410">
          <cell r="B410" t="str">
            <v>C2cd2l</v>
          </cell>
        </row>
        <row r="411">
          <cell r="B411" t="str">
            <v>AC117245.5</v>
          </cell>
        </row>
        <row r="412">
          <cell r="B412" t="str">
            <v>Prss35</v>
          </cell>
        </row>
        <row r="413">
          <cell r="B413" t="str">
            <v>Itgb4</v>
          </cell>
        </row>
        <row r="414">
          <cell r="B414" t="str">
            <v>4930509J09Rik</v>
          </cell>
        </row>
        <row r="415">
          <cell r="B415" t="str">
            <v>Fbxo32</v>
          </cell>
        </row>
        <row r="416">
          <cell r="B416" t="str">
            <v>Diaph1</v>
          </cell>
        </row>
        <row r="417">
          <cell r="B417" t="str">
            <v>Arhgap44</v>
          </cell>
        </row>
        <row r="418">
          <cell r="B418" t="str">
            <v>Gm20387</v>
          </cell>
        </row>
        <row r="419">
          <cell r="B419" t="str">
            <v>Grik2</v>
          </cell>
        </row>
        <row r="420">
          <cell r="B420" t="str">
            <v>AC133079.1</v>
          </cell>
        </row>
        <row r="421">
          <cell r="B421" t="str">
            <v>Nrg3</v>
          </cell>
        </row>
        <row r="422">
          <cell r="B422" t="str">
            <v>Tmem151a</v>
          </cell>
        </row>
        <row r="423">
          <cell r="B423" t="str">
            <v>Rc3h1</v>
          </cell>
        </row>
        <row r="424">
          <cell r="B424" t="str">
            <v>Rab36</v>
          </cell>
        </row>
        <row r="425">
          <cell r="B425" t="str">
            <v>Gm37034</v>
          </cell>
        </row>
        <row r="426">
          <cell r="B426" t="str">
            <v>Chst2</v>
          </cell>
        </row>
        <row r="427">
          <cell r="B427" t="str">
            <v>Mtor</v>
          </cell>
        </row>
        <row r="428">
          <cell r="B428" t="str">
            <v>Slitrk1</v>
          </cell>
        </row>
        <row r="429">
          <cell r="B429" t="str">
            <v>Rgmb</v>
          </cell>
        </row>
        <row r="430">
          <cell r="B430" t="str">
            <v>Gm11960</v>
          </cell>
        </row>
        <row r="431">
          <cell r="B431" t="str">
            <v>Fam189a1</v>
          </cell>
        </row>
        <row r="432">
          <cell r="B432" t="str">
            <v>Col22a1</v>
          </cell>
        </row>
        <row r="433">
          <cell r="B433" t="str">
            <v>Pip4k2c</v>
          </cell>
        </row>
        <row r="434">
          <cell r="B434" t="str">
            <v>Chpf2</v>
          </cell>
        </row>
        <row r="435">
          <cell r="B435" t="str">
            <v>Dhdds</v>
          </cell>
        </row>
        <row r="436">
          <cell r="B436" t="str">
            <v>Hnrnpdl</v>
          </cell>
        </row>
        <row r="437">
          <cell r="B437" t="str">
            <v>Mdga2</v>
          </cell>
        </row>
        <row r="438">
          <cell r="B438" t="str">
            <v>Irf8</v>
          </cell>
        </row>
        <row r="439">
          <cell r="B439" t="str">
            <v>Gm7361</v>
          </cell>
        </row>
        <row r="440">
          <cell r="B440" t="str">
            <v>Brinp1</v>
          </cell>
        </row>
        <row r="441">
          <cell r="B441" t="str">
            <v>AC122273.2</v>
          </cell>
        </row>
        <row r="442">
          <cell r="B442" t="str">
            <v>Gm17615</v>
          </cell>
        </row>
        <row r="443">
          <cell r="B443" t="str">
            <v>Eif5</v>
          </cell>
        </row>
        <row r="444">
          <cell r="B444" t="str">
            <v>Rasgrf1</v>
          </cell>
        </row>
        <row r="445">
          <cell r="B445" t="str">
            <v>Slc9a1</v>
          </cell>
        </row>
        <row r="446">
          <cell r="B446" t="str">
            <v>Fat1</v>
          </cell>
        </row>
        <row r="447">
          <cell r="B447" t="str">
            <v>Dennd1a</v>
          </cell>
        </row>
        <row r="448">
          <cell r="B448" t="str">
            <v>Btf3l4</v>
          </cell>
        </row>
        <row r="449">
          <cell r="B449" t="str">
            <v>1700027A07Rik</v>
          </cell>
        </row>
        <row r="450">
          <cell r="B450" t="str">
            <v>AC164550.2</v>
          </cell>
        </row>
        <row r="451">
          <cell r="B451" t="str">
            <v>Mylip</v>
          </cell>
        </row>
        <row r="452">
          <cell r="B452" t="str">
            <v>Lrfn5</v>
          </cell>
        </row>
        <row r="453">
          <cell r="B453" t="str">
            <v>Qrich1</v>
          </cell>
        </row>
        <row r="454">
          <cell r="B454" t="str">
            <v>Slitrk4</v>
          </cell>
        </row>
        <row r="455">
          <cell r="B455" t="str">
            <v>Zc3h6</v>
          </cell>
        </row>
        <row r="456">
          <cell r="B456" t="str">
            <v>Hcfc1</v>
          </cell>
        </row>
        <row r="457">
          <cell r="B457" t="str">
            <v>Ptprg</v>
          </cell>
        </row>
        <row r="458">
          <cell r="B458" t="str">
            <v>Gtf3c1</v>
          </cell>
        </row>
        <row r="459">
          <cell r="B459" t="str">
            <v>Ifit3</v>
          </cell>
        </row>
        <row r="460">
          <cell r="B460" t="str">
            <v>Dcdc2a</v>
          </cell>
        </row>
        <row r="461">
          <cell r="B461" t="str">
            <v>Amer1</v>
          </cell>
        </row>
        <row r="462">
          <cell r="B462" t="str">
            <v>Slc3a2</v>
          </cell>
        </row>
        <row r="463">
          <cell r="B463" t="str">
            <v>Naglu</v>
          </cell>
        </row>
        <row r="464">
          <cell r="B464" t="str">
            <v>BC005537</v>
          </cell>
        </row>
        <row r="465">
          <cell r="B465" t="str">
            <v>Sephs2</v>
          </cell>
        </row>
        <row r="466">
          <cell r="B466" t="str">
            <v>Gm15789</v>
          </cell>
        </row>
        <row r="467">
          <cell r="B467" t="str">
            <v>Ddx3y</v>
          </cell>
        </row>
        <row r="468">
          <cell r="B468" t="str">
            <v>Gtdc1</v>
          </cell>
        </row>
        <row r="469">
          <cell r="B469" t="str">
            <v>Vcp</v>
          </cell>
        </row>
        <row r="470">
          <cell r="B470" t="str">
            <v>Fech</v>
          </cell>
        </row>
        <row r="471">
          <cell r="B471" t="str">
            <v>Zfp91</v>
          </cell>
        </row>
        <row r="472">
          <cell r="B472" t="str">
            <v>Coro1c</v>
          </cell>
        </row>
        <row r="473">
          <cell r="B473" t="str">
            <v>Mex3b</v>
          </cell>
        </row>
        <row r="474">
          <cell r="B474" t="str">
            <v>4732487G21Rik</v>
          </cell>
        </row>
        <row r="475">
          <cell r="B475" t="str">
            <v>Epas1</v>
          </cell>
        </row>
        <row r="476">
          <cell r="B476" t="str">
            <v>Ube2d1</v>
          </cell>
        </row>
        <row r="477">
          <cell r="B477" t="str">
            <v>Capn5</v>
          </cell>
        </row>
        <row r="478">
          <cell r="B478" t="str">
            <v>Gm15594</v>
          </cell>
        </row>
        <row r="479">
          <cell r="B479" t="str">
            <v>Zfp804a</v>
          </cell>
        </row>
        <row r="480">
          <cell r="B480" t="str">
            <v>Cyb5r3</v>
          </cell>
        </row>
        <row r="481">
          <cell r="B481" t="str">
            <v>Wdr11</v>
          </cell>
        </row>
        <row r="482">
          <cell r="B482" t="str">
            <v>Celf3</v>
          </cell>
        </row>
        <row r="483">
          <cell r="B483" t="str">
            <v>Rtf1</v>
          </cell>
        </row>
        <row r="484">
          <cell r="B484" t="str">
            <v>Rps6ka4</v>
          </cell>
        </row>
        <row r="485">
          <cell r="B485" t="str">
            <v>Insr</v>
          </cell>
        </row>
        <row r="486">
          <cell r="B486" t="str">
            <v>Gm37345</v>
          </cell>
        </row>
        <row r="487">
          <cell r="B487" t="str">
            <v>Galns</v>
          </cell>
        </row>
        <row r="488">
          <cell r="B488" t="str">
            <v>Ubr5</v>
          </cell>
        </row>
        <row r="489">
          <cell r="B489" t="str">
            <v>Wasf2</v>
          </cell>
        </row>
        <row r="490">
          <cell r="B490" t="str">
            <v>Rprml</v>
          </cell>
        </row>
        <row r="491">
          <cell r="B491" t="str">
            <v>Dnajb14</v>
          </cell>
        </row>
        <row r="492">
          <cell r="B492" t="str">
            <v>AC118230.1</v>
          </cell>
        </row>
        <row r="493">
          <cell r="B493" t="str">
            <v>5033430I15Rik</v>
          </cell>
        </row>
        <row r="494">
          <cell r="B494" t="str">
            <v>Urgcp</v>
          </cell>
        </row>
        <row r="495">
          <cell r="B495" t="str">
            <v>Micall2</v>
          </cell>
        </row>
        <row r="496">
          <cell r="B496" t="str">
            <v>Nucb2</v>
          </cell>
        </row>
        <row r="497">
          <cell r="B497" t="str">
            <v>Pcdh8</v>
          </cell>
        </row>
        <row r="498">
          <cell r="B498" t="str">
            <v>Pou2f1</v>
          </cell>
        </row>
        <row r="499">
          <cell r="B499" t="str">
            <v>Notch1</v>
          </cell>
        </row>
        <row r="500">
          <cell r="B500" t="str">
            <v>Ipo5</v>
          </cell>
        </row>
        <row r="501">
          <cell r="B501" t="str">
            <v>Thg1l</v>
          </cell>
        </row>
        <row r="502">
          <cell r="B502" t="str">
            <v>Car9</v>
          </cell>
        </row>
        <row r="503">
          <cell r="B503" t="str">
            <v>Cttnbp2</v>
          </cell>
        </row>
        <row r="504">
          <cell r="B504" t="str">
            <v>Eif5b</v>
          </cell>
        </row>
        <row r="505">
          <cell r="B505" t="str">
            <v>Usp24</v>
          </cell>
        </row>
        <row r="506">
          <cell r="B506" t="str">
            <v>Huwe1</v>
          </cell>
        </row>
        <row r="507">
          <cell r="B507" t="str">
            <v>Lmo4</v>
          </cell>
        </row>
        <row r="508">
          <cell r="B508" t="str">
            <v>Dhx38</v>
          </cell>
        </row>
        <row r="509">
          <cell r="B509" t="str">
            <v>Hnrnpa3</v>
          </cell>
        </row>
        <row r="510">
          <cell r="B510" t="str">
            <v>Unc45b</v>
          </cell>
        </row>
        <row r="511">
          <cell r="B511" t="str">
            <v>Lcorl</v>
          </cell>
        </row>
        <row r="512">
          <cell r="B512" t="str">
            <v>Stambp</v>
          </cell>
        </row>
        <row r="513">
          <cell r="B513" t="str">
            <v>Tssc4</v>
          </cell>
        </row>
        <row r="514">
          <cell r="B514" t="str">
            <v>Plec</v>
          </cell>
        </row>
        <row r="515">
          <cell r="B515" t="str">
            <v>Znhit2</v>
          </cell>
        </row>
        <row r="516">
          <cell r="B516" t="str">
            <v>A930036I15Rik</v>
          </cell>
        </row>
        <row r="517">
          <cell r="B517" t="str">
            <v>Snd1</v>
          </cell>
        </row>
        <row r="518">
          <cell r="B518" t="str">
            <v>Nfatc2</v>
          </cell>
        </row>
        <row r="519">
          <cell r="B519" t="str">
            <v>Gm14015</v>
          </cell>
        </row>
        <row r="520">
          <cell r="B520" t="str">
            <v>R3hcc1</v>
          </cell>
        </row>
        <row r="521">
          <cell r="B521" t="str">
            <v>Tle3</v>
          </cell>
        </row>
        <row r="522">
          <cell r="B522" t="str">
            <v>Atp11b</v>
          </cell>
        </row>
        <row r="523">
          <cell r="B523" t="str">
            <v>Smyd2</v>
          </cell>
        </row>
        <row r="524">
          <cell r="B524" t="str">
            <v>Arnt2</v>
          </cell>
        </row>
        <row r="525">
          <cell r="B525" t="str">
            <v>Parva</v>
          </cell>
        </row>
        <row r="526">
          <cell r="B526" t="str">
            <v>Thsd7b</v>
          </cell>
        </row>
        <row r="527">
          <cell r="B527" t="str">
            <v>Sstr3</v>
          </cell>
        </row>
        <row r="528">
          <cell r="B528" t="str">
            <v>Xpo6</v>
          </cell>
        </row>
        <row r="529">
          <cell r="B529" t="str">
            <v>Sspn</v>
          </cell>
        </row>
        <row r="530">
          <cell r="B530" t="str">
            <v>Magee1</v>
          </cell>
        </row>
        <row r="531">
          <cell r="B531" t="str">
            <v>Slc25a53</v>
          </cell>
        </row>
        <row r="532">
          <cell r="B532" t="str">
            <v>Gm45244</v>
          </cell>
        </row>
        <row r="533">
          <cell r="B533" t="str">
            <v>Ten1</v>
          </cell>
        </row>
        <row r="534">
          <cell r="B534" t="str">
            <v>Hmgb3</v>
          </cell>
        </row>
        <row r="535">
          <cell r="B535" t="str">
            <v>Prokr2</v>
          </cell>
        </row>
        <row r="536">
          <cell r="B536" t="str">
            <v>Sat2</v>
          </cell>
        </row>
        <row r="537">
          <cell r="B537" t="str">
            <v>Gm45061</v>
          </cell>
        </row>
        <row r="538">
          <cell r="B538" t="str">
            <v>Soga1</v>
          </cell>
        </row>
        <row r="539">
          <cell r="B539" t="str">
            <v>Tipin</v>
          </cell>
        </row>
        <row r="540">
          <cell r="B540" t="str">
            <v>Vars</v>
          </cell>
        </row>
        <row r="541">
          <cell r="B541" t="str">
            <v>Gm19863</v>
          </cell>
        </row>
        <row r="542">
          <cell r="B542" t="str">
            <v>Rrbp1</v>
          </cell>
        </row>
        <row r="543">
          <cell r="B543" t="str">
            <v>Gm26979</v>
          </cell>
        </row>
        <row r="544">
          <cell r="B544" t="str">
            <v>Creb3l1</v>
          </cell>
        </row>
        <row r="545">
          <cell r="B545" t="str">
            <v>Gm26937</v>
          </cell>
        </row>
        <row r="546">
          <cell r="B546" t="str">
            <v>Gm43300</v>
          </cell>
        </row>
        <row r="547">
          <cell r="B547" t="str">
            <v>Unc13a</v>
          </cell>
        </row>
        <row r="548">
          <cell r="B548" t="str">
            <v>Nsdhl</v>
          </cell>
        </row>
        <row r="549">
          <cell r="B549" t="str">
            <v>Pdss2</v>
          </cell>
        </row>
        <row r="550">
          <cell r="B550" t="str">
            <v>Arhgef17</v>
          </cell>
        </row>
        <row r="551">
          <cell r="B551" t="str">
            <v>5730409E04Rik</v>
          </cell>
        </row>
        <row r="552">
          <cell r="B552" t="str">
            <v>Gm16286</v>
          </cell>
        </row>
        <row r="553">
          <cell r="B553" t="str">
            <v>Epn1</v>
          </cell>
        </row>
        <row r="554">
          <cell r="B554" t="str">
            <v>Gm9017</v>
          </cell>
        </row>
        <row r="555">
          <cell r="B555" t="str">
            <v>Fyn</v>
          </cell>
        </row>
        <row r="556">
          <cell r="B556" t="str">
            <v>Gm13617</v>
          </cell>
        </row>
        <row r="557">
          <cell r="B557" t="str">
            <v>Neat1</v>
          </cell>
        </row>
        <row r="558">
          <cell r="B558" t="str">
            <v>Pmp22</v>
          </cell>
        </row>
        <row r="559">
          <cell r="B559" t="str">
            <v>Ptpro</v>
          </cell>
        </row>
        <row r="560">
          <cell r="B560" t="str">
            <v>Lsm11</v>
          </cell>
        </row>
        <row r="561">
          <cell r="B561" t="str">
            <v>Sardh</v>
          </cell>
        </row>
        <row r="562">
          <cell r="B562" t="str">
            <v>Scd2</v>
          </cell>
        </row>
        <row r="563">
          <cell r="B563" t="str">
            <v>Ggt5</v>
          </cell>
        </row>
        <row r="564">
          <cell r="B564" t="str">
            <v>Cpz</v>
          </cell>
        </row>
        <row r="565">
          <cell r="B565" t="str">
            <v>Alas1</v>
          </cell>
        </row>
        <row r="566">
          <cell r="B566" t="str">
            <v>Spry2</v>
          </cell>
        </row>
        <row r="567">
          <cell r="B567" t="str">
            <v>Pus1</v>
          </cell>
        </row>
        <row r="568">
          <cell r="B568" t="str">
            <v>Dpp6</v>
          </cell>
        </row>
        <row r="569">
          <cell r="B569" t="str">
            <v>Gm9885</v>
          </cell>
        </row>
        <row r="570">
          <cell r="B570" t="str">
            <v>Arl6ip4</v>
          </cell>
        </row>
        <row r="571">
          <cell r="B571" t="str">
            <v>Gm14776</v>
          </cell>
        </row>
        <row r="572">
          <cell r="B572" t="str">
            <v>Igsf8</v>
          </cell>
        </row>
        <row r="573">
          <cell r="B573" t="str">
            <v>Ankrd31</v>
          </cell>
        </row>
        <row r="574">
          <cell r="B574" t="str">
            <v>Tet3</v>
          </cell>
        </row>
        <row r="575">
          <cell r="B575" t="str">
            <v>Mical1</v>
          </cell>
        </row>
        <row r="576">
          <cell r="B576" t="str">
            <v>Cndp2</v>
          </cell>
        </row>
        <row r="577">
          <cell r="B577" t="str">
            <v>Hdgfrp2</v>
          </cell>
        </row>
        <row r="578">
          <cell r="B578" t="str">
            <v>Spata7</v>
          </cell>
        </row>
        <row r="579">
          <cell r="B579" t="str">
            <v>Gm43084</v>
          </cell>
        </row>
        <row r="580">
          <cell r="B580" t="str">
            <v>Lrch2</v>
          </cell>
        </row>
        <row r="581">
          <cell r="B581" t="str">
            <v>Hnrnpr</v>
          </cell>
        </row>
        <row r="582">
          <cell r="B582" t="str">
            <v>Pfn4</v>
          </cell>
        </row>
        <row r="583">
          <cell r="B583" t="str">
            <v>Rsad2</v>
          </cell>
        </row>
        <row r="584">
          <cell r="B584" t="str">
            <v>Tmem63b</v>
          </cell>
        </row>
        <row r="585">
          <cell r="B585" t="str">
            <v>Nf2</v>
          </cell>
        </row>
        <row r="586">
          <cell r="B586" t="str">
            <v>Gm42597</v>
          </cell>
        </row>
        <row r="587">
          <cell r="B587" t="str">
            <v>Lrp1</v>
          </cell>
        </row>
        <row r="588">
          <cell r="B588" t="str">
            <v>Rab11fip5</v>
          </cell>
        </row>
        <row r="589">
          <cell r="B589" t="str">
            <v>Optn</v>
          </cell>
        </row>
        <row r="590">
          <cell r="B590" t="str">
            <v>Lrrc4</v>
          </cell>
        </row>
        <row r="591">
          <cell r="B591" t="str">
            <v>Mtmr3</v>
          </cell>
        </row>
        <row r="592">
          <cell r="B592" t="str">
            <v>Gm45137</v>
          </cell>
        </row>
        <row r="593">
          <cell r="B593" t="str">
            <v>2600014E21Rik</v>
          </cell>
        </row>
        <row r="594">
          <cell r="B594" t="str">
            <v>Rhoq</v>
          </cell>
        </row>
        <row r="595">
          <cell r="B595" t="str">
            <v>Fam184b</v>
          </cell>
        </row>
        <row r="596">
          <cell r="B596" t="str">
            <v>Fcgbp</v>
          </cell>
        </row>
        <row r="597">
          <cell r="B597" t="str">
            <v>Plekhg5</v>
          </cell>
        </row>
        <row r="598">
          <cell r="B598" t="str">
            <v>Slc12a9</v>
          </cell>
        </row>
        <row r="599">
          <cell r="B599" t="str">
            <v>Cwc22</v>
          </cell>
        </row>
        <row r="600">
          <cell r="B600" t="str">
            <v>Unc5a</v>
          </cell>
        </row>
        <row r="601">
          <cell r="B601" t="str">
            <v>Cbx6</v>
          </cell>
        </row>
        <row r="602">
          <cell r="B602" t="str">
            <v>Klhdc8b</v>
          </cell>
        </row>
        <row r="603">
          <cell r="B603" t="str">
            <v>Grik5</v>
          </cell>
        </row>
        <row r="604">
          <cell r="B604" t="str">
            <v>Gm16125</v>
          </cell>
        </row>
        <row r="605">
          <cell r="B605" t="str">
            <v>Gm45179</v>
          </cell>
        </row>
        <row r="606">
          <cell r="B606" t="str">
            <v>Iqsec1</v>
          </cell>
        </row>
        <row r="607">
          <cell r="B607" t="str">
            <v>D930019O06Rik</v>
          </cell>
        </row>
        <row r="608">
          <cell r="B608" t="str">
            <v>Clstn2</v>
          </cell>
        </row>
        <row r="609">
          <cell r="B609" t="str">
            <v>Dolk</v>
          </cell>
        </row>
        <row r="610">
          <cell r="B610" t="str">
            <v>Slit3</v>
          </cell>
        </row>
        <row r="611">
          <cell r="B611" t="str">
            <v>Htra2</v>
          </cell>
        </row>
        <row r="612">
          <cell r="B612" t="str">
            <v>Atp4a</v>
          </cell>
        </row>
        <row r="613">
          <cell r="B613" t="str">
            <v>Unk</v>
          </cell>
        </row>
        <row r="614">
          <cell r="B614" t="str">
            <v>Gm21954</v>
          </cell>
        </row>
        <row r="615">
          <cell r="B615" t="str">
            <v>Wipf1</v>
          </cell>
        </row>
        <row r="616">
          <cell r="B616" t="str">
            <v>Enah</v>
          </cell>
        </row>
        <row r="617">
          <cell r="B617" t="str">
            <v>Rft1</v>
          </cell>
        </row>
        <row r="618">
          <cell r="B618" t="str">
            <v>Pdha1</v>
          </cell>
        </row>
        <row r="619">
          <cell r="B619" t="str">
            <v>Gm13380</v>
          </cell>
        </row>
        <row r="620">
          <cell r="B620" t="str">
            <v>Lrrc47</v>
          </cell>
        </row>
        <row r="621">
          <cell r="B621" t="str">
            <v>Crtc3</v>
          </cell>
        </row>
        <row r="622">
          <cell r="B622" t="str">
            <v>Esrrb</v>
          </cell>
        </row>
        <row r="623">
          <cell r="B623" t="str">
            <v>Pcdhga9</v>
          </cell>
        </row>
        <row r="624">
          <cell r="B624" t="str">
            <v>Zfp106</v>
          </cell>
        </row>
        <row r="625">
          <cell r="B625" t="str">
            <v>Cenpb</v>
          </cell>
        </row>
        <row r="626">
          <cell r="B626" t="str">
            <v>Dab1</v>
          </cell>
        </row>
        <row r="627">
          <cell r="B627" t="str">
            <v>Gnl1</v>
          </cell>
        </row>
        <row r="628">
          <cell r="B628" t="str">
            <v>Mamld1</v>
          </cell>
        </row>
        <row r="629">
          <cell r="B629" t="str">
            <v>Shank3</v>
          </cell>
        </row>
        <row r="630">
          <cell r="B630" t="str">
            <v>Abl1</v>
          </cell>
        </row>
        <row r="631">
          <cell r="B631" t="str">
            <v>Abca2</v>
          </cell>
        </row>
        <row r="632">
          <cell r="B632" t="str">
            <v>Tmem179</v>
          </cell>
        </row>
        <row r="633">
          <cell r="B633" t="str">
            <v>Gm5884</v>
          </cell>
        </row>
        <row r="634">
          <cell r="B634" t="str">
            <v>Heg1</v>
          </cell>
        </row>
        <row r="635">
          <cell r="B635" t="str">
            <v>Gm7265</v>
          </cell>
        </row>
        <row r="636">
          <cell r="B636" t="str">
            <v>Fbn1</v>
          </cell>
        </row>
        <row r="637">
          <cell r="B637" t="str">
            <v>Zc3hav1</v>
          </cell>
        </row>
        <row r="638">
          <cell r="B638" t="str">
            <v>2810029C07Rik</v>
          </cell>
        </row>
        <row r="639">
          <cell r="B639" t="str">
            <v>Rgs9</v>
          </cell>
        </row>
        <row r="640">
          <cell r="B640" t="str">
            <v>Lgals8</v>
          </cell>
        </row>
        <row r="641">
          <cell r="B641" t="str">
            <v>Slc9a6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able S1"/>
      <sheetName val="Sheet2"/>
      <sheetName val="Table S2"/>
      <sheetName val="Table S3"/>
      <sheetName val="Table S4"/>
      <sheetName val="Table S5"/>
    </sheetNames>
    <sheetDataSet>
      <sheetData sheetId="0" refreshError="1"/>
      <sheetData sheetId="1"/>
      <sheetData sheetId="2">
        <row r="1">
          <cell r="A1" t="str">
            <v>Gene symbol</v>
          </cell>
        </row>
        <row r="2">
          <cell r="A2" t="str">
            <v>Cirbp</v>
          </cell>
        </row>
        <row r="3">
          <cell r="A3" t="str">
            <v>Sox11</v>
          </cell>
        </row>
        <row r="4">
          <cell r="A4" t="str">
            <v>Slc44a5</v>
          </cell>
        </row>
        <row r="5">
          <cell r="A5" t="str">
            <v>Slc44a5</v>
          </cell>
        </row>
        <row r="6">
          <cell r="A6" t="str">
            <v>2410131K14Rik</v>
          </cell>
        </row>
        <row r="7">
          <cell r="A7" t="str">
            <v>Cdkn1b</v>
          </cell>
        </row>
        <row r="8">
          <cell r="A8" t="str">
            <v>Prkab2</v>
          </cell>
        </row>
        <row r="9">
          <cell r="A9" t="str">
            <v>Pdia4</v>
          </cell>
        </row>
        <row r="10">
          <cell r="A10" t="str">
            <v>Erf</v>
          </cell>
        </row>
        <row r="11">
          <cell r="A11" t="str">
            <v>Pid1</v>
          </cell>
        </row>
        <row r="12">
          <cell r="A12" t="str">
            <v>Creld2</v>
          </cell>
        </row>
        <row r="13">
          <cell r="A13" t="str">
            <v>Spred1</v>
          </cell>
        </row>
        <row r="14">
          <cell r="A14" t="str">
            <v>Ccdc71l</v>
          </cell>
        </row>
        <row r="15">
          <cell r="A15" t="str">
            <v>Zbtb40</v>
          </cell>
        </row>
        <row r="16">
          <cell r="A16" t="str">
            <v>Slc25a38</v>
          </cell>
        </row>
        <row r="17">
          <cell r="A17" t="str">
            <v>Homer1</v>
          </cell>
        </row>
        <row r="18">
          <cell r="A18" t="str">
            <v>Upf2</v>
          </cell>
        </row>
        <row r="19">
          <cell r="A19" t="str">
            <v>Mical3</v>
          </cell>
        </row>
        <row r="20">
          <cell r="A20" t="str">
            <v>Cdk20</v>
          </cell>
        </row>
        <row r="21">
          <cell r="A21" t="str">
            <v>Jhdm1d</v>
          </cell>
        </row>
        <row r="22">
          <cell r="A22" t="str">
            <v>Wnt7a</v>
          </cell>
        </row>
        <row r="23">
          <cell r="A23" t="str">
            <v>Chordc1</v>
          </cell>
        </row>
        <row r="24">
          <cell r="A24" t="str">
            <v>Trove2</v>
          </cell>
        </row>
        <row r="25">
          <cell r="A25" t="str">
            <v>Slc6a6</v>
          </cell>
        </row>
        <row r="26">
          <cell r="A26" t="str">
            <v>Lonrf3</v>
          </cell>
        </row>
        <row r="27">
          <cell r="A27" t="str">
            <v>Elk1</v>
          </cell>
        </row>
        <row r="28">
          <cell r="A28" t="str">
            <v>Crcp</v>
          </cell>
        </row>
        <row r="29">
          <cell r="A29" t="str">
            <v>Sars</v>
          </cell>
        </row>
        <row r="30">
          <cell r="A30" t="str">
            <v>Htr1a</v>
          </cell>
        </row>
        <row r="31">
          <cell r="A31" t="str">
            <v>Atg12</v>
          </cell>
        </row>
        <row r="32">
          <cell r="A32" t="str">
            <v>Sdf2l1</v>
          </cell>
        </row>
        <row r="33">
          <cell r="A33" t="str">
            <v>Dusp1</v>
          </cell>
        </row>
        <row r="34">
          <cell r="A34" t="str">
            <v>Gm12940</v>
          </cell>
        </row>
        <row r="35">
          <cell r="A35" t="str">
            <v>Dnajc3</v>
          </cell>
        </row>
        <row r="36">
          <cell r="A36" t="str">
            <v>Zdhhc8</v>
          </cell>
        </row>
        <row r="37">
          <cell r="A37" t="str">
            <v>Tiam1</v>
          </cell>
        </row>
        <row r="38">
          <cell r="A38" t="str">
            <v>Wnt9a</v>
          </cell>
        </row>
        <row r="39">
          <cell r="A39" t="str">
            <v>Rab8b</v>
          </cell>
        </row>
        <row r="40">
          <cell r="A40" t="str">
            <v>Plekho1</v>
          </cell>
        </row>
        <row r="41">
          <cell r="A41" t="str">
            <v>Arrdc4</v>
          </cell>
        </row>
        <row r="42">
          <cell r="A42" t="str">
            <v>Pik3r1</v>
          </cell>
        </row>
        <row r="43">
          <cell r="A43" t="str">
            <v>Btaf1</v>
          </cell>
        </row>
        <row r="44">
          <cell r="A44" t="str">
            <v>Cys1</v>
          </cell>
        </row>
        <row r="45">
          <cell r="A45" t="str">
            <v>Cdk2ap2</v>
          </cell>
        </row>
        <row r="46">
          <cell r="A46" t="str">
            <v>Plod1</v>
          </cell>
        </row>
        <row r="47">
          <cell r="A47" t="str">
            <v>Glt8d2</v>
          </cell>
        </row>
        <row r="48">
          <cell r="A48" t="str">
            <v>Sybu</v>
          </cell>
        </row>
        <row r="49">
          <cell r="A49" t="str">
            <v>Fos</v>
          </cell>
        </row>
        <row r="50">
          <cell r="A50" t="str">
            <v>Pdrg1</v>
          </cell>
        </row>
        <row r="51">
          <cell r="A51" t="str">
            <v>Aph1c</v>
          </cell>
        </row>
        <row r="52">
          <cell r="A52" t="str">
            <v>A230046K03Rik</v>
          </cell>
        </row>
        <row r="53">
          <cell r="A53" t="str">
            <v>Mettl7a1</v>
          </cell>
        </row>
        <row r="54">
          <cell r="A54" t="str">
            <v>Rasl10a</v>
          </cell>
        </row>
        <row r="55">
          <cell r="A55" t="str">
            <v>Kcna4</v>
          </cell>
        </row>
        <row r="56">
          <cell r="A56" t="str">
            <v>Clspn</v>
          </cell>
        </row>
        <row r="57">
          <cell r="A57" t="str">
            <v>Gatsl2</v>
          </cell>
        </row>
        <row r="58">
          <cell r="A58" t="str">
            <v>Icosl</v>
          </cell>
        </row>
        <row r="59">
          <cell r="A59" t="str">
            <v>9930104L06Rik</v>
          </cell>
        </row>
        <row r="60">
          <cell r="A60" t="str">
            <v>Kcnj2</v>
          </cell>
        </row>
        <row r="61">
          <cell r="A61" t="str">
            <v>Ensa</v>
          </cell>
        </row>
        <row r="62">
          <cell r="A62" t="str">
            <v>Prkab1</v>
          </cell>
        </row>
        <row r="63">
          <cell r="A63" t="str">
            <v>Anks1b</v>
          </cell>
        </row>
        <row r="64">
          <cell r="A64" t="str">
            <v>Rims4</v>
          </cell>
        </row>
        <row r="65">
          <cell r="A65" t="str">
            <v>Ormdl3</v>
          </cell>
        </row>
        <row r="66">
          <cell r="A66" t="str">
            <v>Avpr1a</v>
          </cell>
        </row>
        <row r="67">
          <cell r="A67" t="str">
            <v>Mc4r</v>
          </cell>
        </row>
        <row r="68">
          <cell r="A68" t="str">
            <v>Slc11a2</v>
          </cell>
        </row>
        <row r="69">
          <cell r="A69" t="str">
            <v>Ythdc1</v>
          </cell>
        </row>
        <row r="70">
          <cell r="A70" t="str">
            <v>Ubxn2b</v>
          </cell>
        </row>
        <row r="71">
          <cell r="A71" t="str">
            <v>Imp4</v>
          </cell>
        </row>
        <row r="72">
          <cell r="A72" t="str">
            <v>Ube2g2</v>
          </cell>
        </row>
        <row r="73">
          <cell r="A73" t="str">
            <v>Kcnj4</v>
          </cell>
        </row>
        <row r="74">
          <cell r="A74" t="str">
            <v>Pgm5</v>
          </cell>
        </row>
        <row r="75">
          <cell r="A75" t="str">
            <v>Lurap1l</v>
          </cell>
        </row>
        <row r="76">
          <cell r="A76" t="str">
            <v>2610035D17Rik</v>
          </cell>
        </row>
        <row r="77">
          <cell r="A77" t="str">
            <v>Sh3bp4</v>
          </cell>
        </row>
        <row r="78">
          <cell r="A78" t="str">
            <v>Maoa</v>
          </cell>
        </row>
        <row r="79">
          <cell r="A79" t="str">
            <v>Slc5a3</v>
          </cell>
        </row>
        <row r="80">
          <cell r="A80" t="str">
            <v>Frmd3</v>
          </cell>
        </row>
        <row r="81">
          <cell r="A81" t="str">
            <v>Kcnv1</v>
          </cell>
        </row>
        <row r="82">
          <cell r="A82" t="str">
            <v>Paip2b</v>
          </cell>
        </row>
        <row r="83">
          <cell r="A83" t="str">
            <v>Alox12b</v>
          </cell>
        </row>
        <row r="84">
          <cell r="A84" t="str">
            <v>Fam101b</v>
          </cell>
        </row>
        <row r="85">
          <cell r="A85" t="str">
            <v>Taf12</v>
          </cell>
        </row>
        <row r="86">
          <cell r="A86" t="str">
            <v>Rassf3</v>
          </cell>
        </row>
        <row r="87">
          <cell r="A87" t="str">
            <v>Dnajb5</v>
          </cell>
        </row>
        <row r="88">
          <cell r="A88" t="str">
            <v>Il6st</v>
          </cell>
        </row>
        <row r="89">
          <cell r="A89" t="str">
            <v>Jag1</v>
          </cell>
        </row>
        <row r="90">
          <cell r="A90" t="str">
            <v>Clic4</v>
          </cell>
        </row>
        <row r="91">
          <cell r="A91" t="str">
            <v>Ppih</v>
          </cell>
        </row>
        <row r="92">
          <cell r="A92" t="str">
            <v>Ptcd1</v>
          </cell>
        </row>
        <row r="93">
          <cell r="A93" t="str">
            <v>Hmg20a</v>
          </cell>
        </row>
        <row r="94">
          <cell r="A94" t="str">
            <v>Zfp655</v>
          </cell>
        </row>
        <row r="95">
          <cell r="A95" t="str">
            <v>Lactb2</v>
          </cell>
        </row>
        <row r="96">
          <cell r="A96" t="str">
            <v>Pdia6</v>
          </cell>
        </row>
        <row r="97">
          <cell r="A97" t="str">
            <v>Hexa</v>
          </cell>
        </row>
        <row r="98">
          <cell r="A98" t="str">
            <v>Ankfn1</v>
          </cell>
        </row>
        <row r="99">
          <cell r="A99" t="str">
            <v>Cbr3</v>
          </cell>
        </row>
        <row r="100">
          <cell r="A100" t="str">
            <v>Emc3</v>
          </cell>
        </row>
        <row r="101">
          <cell r="A101" t="str">
            <v>Sp9</v>
          </cell>
        </row>
        <row r="102">
          <cell r="A102" t="str">
            <v>Slc38a9</v>
          </cell>
        </row>
        <row r="103">
          <cell r="A103" t="str">
            <v>Pnrc2</v>
          </cell>
        </row>
        <row r="104">
          <cell r="A104" t="str">
            <v>Prrc2c</v>
          </cell>
        </row>
        <row r="105">
          <cell r="A105" t="str">
            <v>Igsf3</v>
          </cell>
        </row>
        <row r="106">
          <cell r="A106" t="str">
            <v>Fat4</v>
          </cell>
        </row>
        <row r="107">
          <cell r="A107" t="str">
            <v>Per1</v>
          </cell>
        </row>
        <row r="108">
          <cell r="A108" t="str">
            <v>Recql</v>
          </cell>
        </row>
        <row r="109">
          <cell r="A109" t="str">
            <v>Gad2</v>
          </cell>
        </row>
        <row r="110">
          <cell r="A110" t="str">
            <v>Zic1</v>
          </cell>
        </row>
        <row r="111">
          <cell r="A111" t="str">
            <v>Klhl14</v>
          </cell>
        </row>
        <row r="112">
          <cell r="A112" t="str">
            <v>Slc4a8</v>
          </cell>
        </row>
        <row r="113">
          <cell r="A113" t="str">
            <v>2810006K23Rik</v>
          </cell>
        </row>
        <row r="114">
          <cell r="A114" t="str">
            <v>Mettl3</v>
          </cell>
        </row>
        <row r="115">
          <cell r="A115" t="str">
            <v>Luc7l</v>
          </cell>
        </row>
        <row r="116">
          <cell r="A116" t="str">
            <v>Gpr63</v>
          </cell>
        </row>
        <row r="117">
          <cell r="A117" t="str">
            <v>Ssr3</v>
          </cell>
        </row>
        <row r="118">
          <cell r="A118" t="str">
            <v>Nova1</v>
          </cell>
        </row>
        <row r="119">
          <cell r="A119" t="str">
            <v>Calr</v>
          </cell>
        </row>
        <row r="120">
          <cell r="A120" t="str">
            <v>C130074G19Rik</v>
          </cell>
        </row>
        <row r="121">
          <cell r="A121" t="str">
            <v>Ppp2r1b</v>
          </cell>
        </row>
        <row r="122">
          <cell r="A122" t="str">
            <v>Parpbp</v>
          </cell>
        </row>
        <row r="123">
          <cell r="A123" t="str">
            <v>Scin</v>
          </cell>
        </row>
        <row r="124">
          <cell r="A124" t="str">
            <v>Dnajb4</v>
          </cell>
        </row>
        <row r="125">
          <cell r="A125" t="str">
            <v>Mlec</v>
          </cell>
        </row>
        <row r="126">
          <cell r="A126" t="str">
            <v>Snx27</v>
          </cell>
        </row>
        <row r="127">
          <cell r="A127" t="str">
            <v>Nr1d1</v>
          </cell>
        </row>
        <row r="128">
          <cell r="A128" t="str">
            <v>Bid</v>
          </cell>
        </row>
        <row r="129">
          <cell r="A129" t="str">
            <v>Gpr153</v>
          </cell>
        </row>
        <row r="130">
          <cell r="A130" t="str">
            <v>Srsf5</v>
          </cell>
        </row>
        <row r="131">
          <cell r="A131" t="str">
            <v>Zfhx3</v>
          </cell>
        </row>
        <row r="132">
          <cell r="A132" t="str">
            <v>Hspa5</v>
          </cell>
        </row>
        <row r="133">
          <cell r="A133" t="str">
            <v>Inhba</v>
          </cell>
        </row>
        <row r="134">
          <cell r="A134" t="str">
            <v>Igfbpl1</v>
          </cell>
        </row>
        <row r="135">
          <cell r="A135" t="str">
            <v>Tmem255b</v>
          </cell>
        </row>
        <row r="136">
          <cell r="A136" t="str">
            <v>Olfml2b</v>
          </cell>
        </row>
        <row r="137">
          <cell r="A137" t="str">
            <v>Prpf38b</v>
          </cell>
        </row>
        <row r="138">
          <cell r="A138" t="str">
            <v>Sox1</v>
          </cell>
        </row>
        <row r="139">
          <cell r="A139" t="str">
            <v>4932411E22Rik</v>
          </cell>
        </row>
        <row r="140">
          <cell r="A140" t="str">
            <v>Clpb</v>
          </cell>
        </row>
        <row r="141">
          <cell r="A141" t="str">
            <v>Dnajc21</v>
          </cell>
        </row>
        <row r="142">
          <cell r="A142" t="str">
            <v>Zfp213</v>
          </cell>
        </row>
        <row r="143">
          <cell r="A143" t="str">
            <v>Hrk</v>
          </cell>
        </row>
        <row r="144">
          <cell r="A144" t="str">
            <v>Tfrc</v>
          </cell>
        </row>
        <row r="145">
          <cell r="A145" t="str">
            <v>Zfp46</v>
          </cell>
        </row>
        <row r="146">
          <cell r="A146" t="str">
            <v>Gpatch8</v>
          </cell>
        </row>
        <row r="147">
          <cell r="A147" t="str">
            <v>Taf9</v>
          </cell>
        </row>
        <row r="148">
          <cell r="A148" t="str">
            <v>Amd1</v>
          </cell>
        </row>
        <row r="149">
          <cell r="A149" t="str">
            <v>Arc</v>
          </cell>
        </row>
        <row r="150">
          <cell r="A150" t="str">
            <v>Rad51ap2</v>
          </cell>
        </row>
        <row r="151">
          <cell r="A151" t="str">
            <v>Gad2</v>
          </cell>
        </row>
        <row r="152">
          <cell r="A152" t="str">
            <v>Klhl2</v>
          </cell>
        </row>
        <row r="153">
          <cell r="A153" t="str">
            <v>Acad8</v>
          </cell>
        </row>
        <row r="154">
          <cell r="A154" t="str">
            <v>Mrps6</v>
          </cell>
        </row>
        <row r="155">
          <cell r="A155" t="str">
            <v>Creg2</v>
          </cell>
        </row>
        <row r="156">
          <cell r="A156" t="str">
            <v>Lzts1</v>
          </cell>
        </row>
        <row r="157">
          <cell r="A157" t="str">
            <v>Trib1</v>
          </cell>
        </row>
        <row r="158">
          <cell r="A158" t="str">
            <v>Stat2</v>
          </cell>
        </row>
        <row r="159">
          <cell r="A159" t="str">
            <v>Zic2</v>
          </cell>
        </row>
        <row r="160">
          <cell r="A160" t="str">
            <v>Mbp</v>
          </cell>
        </row>
        <row r="161">
          <cell r="A161" t="str">
            <v>Kcns1</v>
          </cell>
        </row>
        <row r="162">
          <cell r="A162" t="str">
            <v>Eml6</v>
          </cell>
        </row>
        <row r="163">
          <cell r="A163" t="str">
            <v>Car2</v>
          </cell>
        </row>
        <row r="164">
          <cell r="A164" t="str">
            <v>Ankrd45</v>
          </cell>
        </row>
        <row r="165">
          <cell r="A165" t="str">
            <v>Rnf166</v>
          </cell>
        </row>
        <row r="166">
          <cell r="A166" t="str">
            <v>Slc32a1</v>
          </cell>
        </row>
        <row r="167">
          <cell r="A167" t="str">
            <v>2510003E04Rik</v>
          </cell>
        </row>
        <row r="168">
          <cell r="A168" t="str">
            <v>Nmrk1</v>
          </cell>
        </row>
        <row r="169">
          <cell r="A169" t="str">
            <v>Eif2ak2</v>
          </cell>
        </row>
        <row r="170">
          <cell r="A170" t="str">
            <v>Cry2</v>
          </cell>
        </row>
        <row r="171">
          <cell r="A171" t="str">
            <v>Hunk</v>
          </cell>
        </row>
        <row r="172">
          <cell r="A172" t="str">
            <v>Polr1a</v>
          </cell>
        </row>
        <row r="173">
          <cell r="A173" t="str">
            <v>Fosb</v>
          </cell>
        </row>
        <row r="174">
          <cell r="A174" t="str">
            <v>Ccdc117</v>
          </cell>
        </row>
        <row r="175">
          <cell r="A175" t="str">
            <v>Neurl1b</v>
          </cell>
        </row>
        <row r="176">
          <cell r="A176" t="str">
            <v>Ppm1f</v>
          </cell>
        </row>
        <row r="177">
          <cell r="A177" t="str">
            <v>Nr4a1</v>
          </cell>
        </row>
        <row r="178">
          <cell r="A178" t="str">
            <v>Wee1</v>
          </cell>
        </row>
        <row r="179">
          <cell r="A179" t="str">
            <v>Lurap1</v>
          </cell>
        </row>
        <row r="180">
          <cell r="A180" t="str">
            <v>Atp2b2</v>
          </cell>
        </row>
        <row r="181">
          <cell r="A181" t="str">
            <v>Manf</v>
          </cell>
        </row>
        <row r="182">
          <cell r="A182" t="str">
            <v>Mfsd2a</v>
          </cell>
        </row>
        <row r="183">
          <cell r="A183" t="str">
            <v>Bcl11a</v>
          </cell>
        </row>
        <row r="184">
          <cell r="A184" t="str">
            <v>Zic5</v>
          </cell>
        </row>
        <row r="185">
          <cell r="A185" t="str">
            <v>Grm3</v>
          </cell>
        </row>
        <row r="186">
          <cell r="A186" t="str">
            <v>Dact2</v>
          </cell>
        </row>
        <row r="187">
          <cell r="A187" t="str">
            <v>Psme4</v>
          </cell>
        </row>
        <row r="188">
          <cell r="A188" t="str">
            <v>Apip</v>
          </cell>
        </row>
        <row r="189">
          <cell r="A189" t="str">
            <v>Erlec1</v>
          </cell>
        </row>
        <row r="190">
          <cell r="A190" t="str">
            <v>Hsp90b1</v>
          </cell>
        </row>
        <row r="191">
          <cell r="A191" t="str">
            <v>3010001F23Rik</v>
          </cell>
        </row>
        <row r="192">
          <cell r="A192" t="str">
            <v>Pcif1</v>
          </cell>
        </row>
        <row r="193">
          <cell r="A193" t="str">
            <v>Kctd21</v>
          </cell>
        </row>
        <row r="194">
          <cell r="A194" t="str">
            <v>Uba6</v>
          </cell>
        </row>
        <row r="195">
          <cell r="A195" t="str">
            <v>Dbt</v>
          </cell>
        </row>
        <row r="196">
          <cell r="A196" t="str">
            <v>Uck1</v>
          </cell>
        </row>
        <row r="197">
          <cell r="A197" t="str">
            <v>Abhd3</v>
          </cell>
        </row>
        <row r="198">
          <cell r="A198" t="str">
            <v>Mir212</v>
          </cell>
        </row>
        <row r="199">
          <cell r="A199" t="str">
            <v>Thap1</v>
          </cell>
        </row>
        <row r="200">
          <cell r="A200" t="str">
            <v>Fam83d</v>
          </cell>
        </row>
        <row r="201">
          <cell r="A201" t="str">
            <v>A230056P14Rik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tex"/>
    </sheetNames>
    <sheetDataSet>
      <sheetData sheetId="0">
        <row r="1">
          <cell r="A1" t="str">
            <v>Plin4</v>
          </cell>
        </row>
        <row r="2">
          <cell r="A2" t="str">
            <v>Arc</v>
          </cell>
        </row>
        <row r="3">
          <cell r="A3" t="str">
            <v>Egr2</v>
          </cell>
        </row>
        <row r="4">
          <cell r="A4" t="str">
            <v>Tekt4</v>
          </cell>
        </row>
        <row r="5">
          <cell r="A5" t="str">
            <v>Fos</v>
          </cell>
        </row>
        <row r="6">
          <cell r="A6" t="str">
            <v>Plekhg4</v>
          </cell>
        </row>
        <row r="7">
          <cell r="A7" t="str">
            <v>Slco1b2</v>
          </cell>
        </row>
        <row r="8">
          <cell r="A8" t="str">
            <v>Gh</v>
          </cell>
        </row>
        <row r="9">
          <cell r="A9" t="str">
            <v>Tnfrsf25</v>
          </cell>
        </row>
        <row r="10">
          <cell r="A10" t="str">
            <v>Misp</v>
          </cell>
        </row>
        <row r="11">
          <cell r="A11" t="str">
            <v>Rtp1</v>
          </cell>
        </row>
        <row r="12">
          <cell r="A12" t="str">
            <v>1700102P08Rik</v>
          </cell>
        </row>
        <row r="13">
          <cell r="A13" t="str">
            <v>Fosb</v>
          </cell>
        </row>
        <row r="14">
          <cell r="A14" t="str">
            <v>Maff</v>
          </cell>
        </row>
        <row r="15">
          <cell r="A15" t="str">
            <v>Tm6sf2</v>
          </cell>
        </row>
        <row r="16">
          <cell r="A16" t="str">
            <v>Sdf2l1</v>
          </cell>
        </row>
        <row r="17">
          <cell r="A17" t="str">
            <v>Bace2</v>
          </cell>
        </row>
        <row r="18">
          <cell r="A18" t="str">
            <v>Cdkn1a</v>
          </cell>
        </row>
        <row r="19">
          <cell r="A19" t="str">
            <v>Klhdc9</v>
          </cell>
        </row>
        <row r="20">
          <cell r="A20" t="str">
            <v>Noxred1</v>
          </cell>
        </row>
        <row r="21">
          <cell r="A21" t="str">
            <v>Rasd1</v>
          </cell>
        </row>
        <row r="22">
          <cell r="A22" t="str">
            <v>Lrrc29</v>
          </cell>
        </row>
        <row r="23">
          <cell r="A23" t="str">
            <v>Fam83d</v>
          </cell>
        </row>
        <row r="24">
          <cell r="A24" t="str">
            <v>Egr3</v>
          </cell>
        </row>
        <row r="25">
          <cell r="A25" t="str">
            <v>Timp1</v>
          </cell>
        </row>
        <row r="26">
          <cell r="A26" t="str">
            <v>Nr4a1</v>
          </cell>
        </row>
        <row r="27">
          <cell r="A27" t="str">
            <v>Serinc2</v>
          </cell>
        </row>
        <row r="28">
          <cell r="A28" t="str">
            <v>Dusp4</v>
          </cell>
        </row>
        <row r="29">
          <cell r="A29" t="str">
            <v>Tmem252</v>
          </cell>
        </row>
        <row r="30">
          <cell r="A30" t="str">
            <v>Sik1</v>
          </cell>
        </row>
        <row r="31">
          <cell r="A31" t="str">
            <v>Npas4</v>
          </cell>
        </row>
        <row r="32">
          <cell r="A32" t="str">
            <v>Samd3</v>
          </cell>
        </row>
        <row r="33">
          <cell r="A33" t="str">
            <v>Trib1</v>
          </cell>
        </row>
        <row r="34">
          <cell r="A34" t="str">
            <v>Cbln4</v>
          </cell>
        </row>
        <row r="35">
          <cell r="A35" t="str">
            <v>0610040B10Rik</v>
          </cell>
        </row>
        <row r="36">
          <cell r="A36" t="str">
            <v>1700001L05Rik</v>
          </cell>
        </row>
        <row r="37">
          <cell r="A37" t="str">
            <v>Hspb1</v>
          </cell>
        </row>
        <row r="38">
          <cell r="A38" t="str">
            <v>Fosl2</v>
          </cell>
        </row>
        <row r="39">
          <cell r="A39" t="str">
            <v>Mybpc3</v>
          </cell>
        </row>
        <row r="40">
          <cell r="A40" t="str">
            <v>Rasl11a</v>
          </cell>
        </row>
        <row r="41">
          <cell r="A41" t="str">
            <v>Dok3</v>
          </cell>
        </row>
        <row r="42">
          <cell r="A42" t="str">
            <v>Gkn3</v>
          </cell>
        </row>
        <row r="43">
          <cell r="A43" t="str">
            <v>Parpbp</v>
          </cell>
        </row>
        <row r="44">
          <cell r="A44" t="str">
            <v>Dio2</v>
          </cell>
        </row>
        <row r="45">
          <cell r="A45" t="str">
            <v>Egr1</v>
          </cell>
        </row>
        <row r="46">
          <cell r="A46" t="str">
            <v>Cml5</v>
          </cell>
        </row>
        <row r="47">
          <cell r="A47" t="str">
            <v>Gpr3</v>
          </cell>
        </row>
        <row r="48">
          <cell r="A48" t="str">
            <v>Acr</v>
          </cell>
        </row>
        <row r="49">
          <cell r="A49" t="str">
            <v>Gm1141</v>
          </cell>
        </row>
        <row r="50">
          <cell r="A50" t="str">
            <v>B430319G15Rik</v>
          </cell>
        </row>
        <row r="51">
          <cell r="A51" t="str">
            <v>Zglp1</v>
          </cell>
        </row>
        <row r="52">
          <cell r="A52" t="str">
            <v>Slc23a3</v>
          </cell>
        </row>
        <row r="53">
          <cell r="A53" t="str">
            <v>Stac3</v>
          </cell>
        </row>
        <row r="54">
          <cell r="A54" t="str">
            <v>Cstad</v>
          </cell>
        </row>
        <row r="55">
          <cell r="A55" t="str">
            <v>Hspa1b</v>
          </cell>
        </row>
        <row r="56">
          <cell r="A56" t="str">
            <v>Htr5b</v>
          </cell>
        </row>
        <row r="57">
          <cell r="A57" t="str">
            <v>Hspa5</v>
          </cell>
        </row>
        <row r="58">
          <cell r="A58" t="str">
            <v>Fam150b</v>
          </cell>
        </row>
        <row r="59">
          <cell r="A59" t="str">
            <v>Cyr61</v>
          </cell>
        </row>
        <row r="60">
          <cell r="A60" t="str">
            <v>Map3k6</v>
          </cell>
        </row>
        <row r="61">
          <cell r="A61" t="str">
            <v>Dusp5</v>
          </cell>
        </row>
        <row r="62">
          <cell r="A62" t="str">
            <v>Gck</v>
          </cell>
        </row>
        <row r="63">
          <cell r="A63" t="str">
            <v>Itga10</v>
          </cell>
        </row>
        <row r="64">
          <cell r="A64" t="str">
            <v>Alox12</v>
          </cell>
        </row>
        <row r="65">
          <cell r="A65" t="str">
            <v>Cirbp</v>
          </cell>
        </row>
        <row r="66">
          <cell r="A66" t="str">
            <v>Ptgs2</v>
          </cell>
        </row>
        <row r="67">
          <cell r="A67" t="str">
            <v>Mdga1</v>
          </cell>
        </row>
        <row r="68">
          <cell r="A68" t="str">
            <v>Cd28</v>
          </cell>
        </row>
        <row r="69">
          <cell r="A69" t="str">
            <v>Neurog2</v>
          </cell>
        </row>
        <row r="70">
          <cell r="A70" t="str">
            <v>Hist1h2be</v>
          </cell>
        </row>
        <row r="71">
          <cell r="A71" t="str">
            <v>Fat2</v>
          </cell>
        </row>
        <row r="72">
          <cell r="A72" t="str">
            <v>Pglyrp1</v>
          </cell>
        </row>
        <row r="73">
          <cell r="A73" t="str">
            <v>Gm16062</v>
          </cell>
        </row>
        <row r="74">
          <cell r="A74" t="str">
            <v>Hif3a</v>
          </cell>
        </row>
        <row r="75">
          <cell r="A75" t="str">
            <v>Arl4d</v>
          </cell>
        </row>
        <row r="76">
          <cell r="A76" t="str">
            <v>8430408G22Rik</v>
          </cell>
        </row>
        <row r="77">
          <cell r="A77" t="str">
            <v>Hist2h3c1</v>
          </cell>
        </row>
        <row r="78">
          <cell r="A78" t="str">
            <v>Derl3</v>
          </cell>
        </row>
        <row r="79">
          <cell r="A79" t="str">
            <v>BC021891</v>
          </cell>
        </row>
        <row r="80">
          <cell r="A80" t="str">
            <v>A730020M07Rik</v>
          </cell>
        </row>
        <row r="81">
          <cell r="A81" t="str">
            <v>Junb</v>
          </cell>
        </row>
        <row r="82">
          <cell r="A82" t="str">
            <v>Arhgef33</v>
          </cell>
        </row>
        <row r="83">
          <cell r="A83" t="str">
            <v>Pcsk9</v>
          </cell>
        </row>
        <row r="84">
          <cell r="A84" t="str">
            <v>Mir6982</v>
          </cell>
        </row>
        <row r="85">
          <cell r="A85" t="str">
            <v>Npbwr1</v>
          </cell>
        </row>
        <row r="86">
          <cell r="A86" t="str">
            <v>Pla2g4e</v>
          </cell>
        </row>
        <row r="87">
          <cell r="A87" t="str">
            <v>Nr4a3</v>
          </cell>
        </row>
        <row r="88">
          <cell r="A88" t="str">
            <v>Insl5</v>
          </cell>
        </row>
        <row r="89">
          <cell r="A89" t="str">
            <v>Vwa3a</v>
          </cell>
        </row>
        <row r="90">
          <cell r="A90" t="str">
            <v>AW549542</v>
          </cell>
        </row>
        <row r="91">
          <cell r="A91" t="str">
            <v>Map3k19</v>
          </cell>
        </row>
        <row r="92">
          <cell r="A92" t="str">
            <v>Spry4</v>
          </cell>
        </row>
        <row r="93">
          <cell r="A93" t="str">
            <v>Espnl</v>
          </cell>
        </row>
        <row r="94">
          <cell r="A94" t="str">
            <v>Tmem82</v>
          </cell>
        </row>
        <row r="95">
          <cell r="A95" t="str">
            <v>Gli1</v>
          </cell>
        </row>
        <row r="96">
          <cell r="A96" t="str">
            <v>Tmod4</v>
          </cell>
        </row>
        <row r="97">
          <cell r="A97" t="str">
            <v>Hfe2</v>
          </cell>
        </row>
        <row r="98">
          <cell r="A98" t="str">
            <v>4930426L09Rik</v>
          </cell>
        </row>
        <row r="99">
          <cell r="A99" t="str">
            <v>Nlrc4</v>
          </cell>
        </row>
        <row r="100">
          <cell r="A100" t="str">
            <v>Rho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ver"/>
    </sheetNames>
    <sheetDataSet>
      <sheetData sheetId="0">
        <row r="1">
          <cell r="A1" t="str">
            <v>Ttll8</v>
          </cell>
        </row>
        <row r="2">
          <cell r="A2" t="str">
            <v>Fam107a</v>
          </cell>
        </row>
        <row r="3">
          <cell r="A3" t="str">
            <v>Fam65b</v>
          </cell>
        </row>
        <row r="4">
          <cell r="A4" t="str">
            <v>Lmod2</v>
          </cell>
        </row>
        <row r="5">
          <cell r="A5" t="str">
            <v>Hist1h1e</v>
          </cell>
        </row>
        <row r="6">
          <cell r="A6" t="str">
            <v>Zbtb16</v>
          </cell>
        </row>
        <row r="7">
          <cell r="A7" t="str">
            <v>Herc3</v>
          </cell>
        </row>
        <row r="8">
          <cell r="A8" t="str">
            <v>Nfe2</v>
          </cell>
        </row>
        <row r="9">
          <cell r="A9" t="str">
            <v>Slc51b</v>
          </cell>
        </row>
        <row r="10">
          <cell r="A10" t="str">
            <v>1700092C10Rik</v>
          </cell>
        </row>
        <row r="11">
          <cell r="A11" t="str">
            <v>Mroh6</v>
          </cell>
        </row>
        <row r="12">
          <cell r="A12" t="str">
            <v>Rad51c</v>
          </cell>
        </row>
        <row r="13">
          <cell r="A13" t="str">
            <v>Dmbt1</v>
          </cell>
        </row>
        <row r="14">
          <cell r="A14" t="str">
            <v>5930430L01Rik</v>
          </cell>
        </row>
        <row r="15">
          <cell r="A15" t="str">
            <v>D130043K22Rik</v>
          </cell>
        </row>
        <row r="16">
          <cell r="A16" t="str">
            <v>Hspa1a</v>
          </cell>
        </row>
        <row r="17">
          <cell r="A17" t="str">
            <v>Fam83f</v>
          </cell>
        </row>
        <row r="18">
          <cell r="A18" t="str">
            <v>Hspa1b</v>
          </cell>
        </row>
        <row r="19">
          <cell r="A19" t="str">
            <v>Chd3os</v>
          </cell>
        </row>
        <row r="20">
          <cell r="A20" t="str">
            <v>E2f8</v>
          </cell>
        </row>
        <row r="21">
          <cell r="A21" t="str">
            <v>Pnpla3</v>
          </cell>
        </row>
        <row r="22">
          <cell r="A22" t="str">
            <v>Derl3</v>
          </cell>
        </row>
        <row r="23">
          <cell r="A23" t="str">
            <v>Cd79a</v>
          </cell>
        </row>
        <row r="24">
          <cell r="A24" t="str">
            <v>Tes</v>
          </cell>
        </row>
        <row r="25">
          <cell r="A25" t="str">
            <v>Nptx1</v>
          </cell>
        </row>
        <row r="26">
          <cell r="A26" t="str">
            <v>Fmo3</v>
          </cell>
        </row>
        <row r="27">
          <cell r="A27" t="str">
            <v>Pnpla5</v>
          </cell>
        </row>
        <row r="28">
          <cell r="A28" t="str">
            <v>Slc5a3</v>
          </cell>
        </row>
        <row r="29">
          <cell r="A29" t="str">
            <v>Hist2h3c2</v>
          </cell>
        </row>
        <row r="30">
          <cell r="A30" t="str">
            <v>Cirbp</v>
          </cell>
        </row>
        <row r="31">
          <cell r="A31" t="str">
            <v>1810046K07Rik</v>
          </cell>
        </row>
        <row r="32">
          <cell r="A32" t="str">
            <v>Lrtm1</v>
          </cell>
        </row>
        <row r="33">
          <cell r="A33" t="str">
            <v>Rps6kl1</v>
          </cell>
        </row>
        <row r="34">
          <cell r="A34" t="str">
            <v>Tnfaip8l3</v>
          </cell>
        </row>
        <row r="35">
          <cell r="A35" t="str">
            <v>Themis</v>
          </cell>
        </row>
        <row r="36">
          <cell r="A36" t="str">
            <v>Hist2h3c1</v>
          </cell>
        </row>
        <row r="37">
          <cell r="A37" t="str">
            <v>Pfkfb3</v>
          </cell>
        </row>
        <row r="38">
          <cell r="A38" t="str">
            <v>Gm16063</v>
          </cell>
        </row>
        <row r="39">
          <cell r="A39" t="str">
            <v>Map3k6</v>
          </cell>
        </row>
        <row r="40">
          <cell r="A40" t="str">
            <v>Lrrc16a</v>
          </cell>
        </row>
        <row r="41">
          <cell r="A41" t="str">
            <v>Ell3</v>
          </cell>
        </row>
        <row r="42">
          <cell r="A42" t="str">
            <v>Ctgf</v>
          </cell>
        </row>
        <row r="43">
          <cell r="A43" t="str">
            <v>4732491K20Rik</v>
          </cell>
        </row>
        <row r="44">
          <cell r="A44" t="str">
            <v>1810053B23Rik</v>
          </cell>
        </row>
        <row r="45">
          <cell r="A45" t="str">
            <v>Ms4a1</v>
          </cell>
        </row>
        <row r="46">
          <cell r="A46" t="str">
            <v>Scara5</v>
          </cell>
        </row>
        <row r="47">
          <cell r="A47" t="str">
            <v>Zfp618</v>
          </cell>
        </row>
        <row r="48">
          <cell r="A48" t="str">
            <v>Ppp1r3g</v>
          </cell>
        </row>
        <row r="49">
          <cell r="A49" t="str">
            <v>Fkbp5</v>
          </cell>
        </row>
        <row r="50">
          <cell r="A50" t="str">
            <v>Hspb1</v>
          </cell>
        </row>
        <row r="51">
          <cell r="A51" t="str">
            <v>Hsph1</v>
          </cell>
        </row>
        <row r="52">
          <cell r="A52" t="str">
            <v>Tchh</v>
          </cell>
        </row>
        <row r="53">
          <cell r="A53" t="str">
            <v>Fbxl22</v>
          </cell>
        </row>
        <row r="54">
          <cell r="A54" t="str">
            <v>Syt11</v>
          </cell>
        </row>
        <row r="55">
          <cell r="A55" t="str">
            <v>Esrrg</v>
          </cell>
        </row>
        <row r="56">
          <cell r="A56" t="str">
            <v>Cyp2b10</v>
          </cell>
        </row>
        <row r="57">
          <cell r="A57" t="str">
            <v>Mt2</v>
          </cell>
        </row>
        <row r="58">
          <cell r="A58" t="str">
            <v>Pde4d</v>
          </cell>
        </row>
        <row r="59">
          <cell r="A59" t="str">
            <v>Plin4</v>
          </cell>
        </row>
        <row r="60">
          <cell r="A60" t="str">
            <v>Fam171b</v>
          </cell>
        </row>
        <row r="61">
          <cell r="A61" t="str">
            <v>Chrna4</v>
          </cell>
        </row>
        <row r="62">
          <cell r="A62" t="str">
            <v>Tmc7</v>
          </cell>
        </row>
        <row r="63">
          <cell r="A63" t="str">
            <v>4931408D14Rik</v>
          </cell>
        </row>
        <row r="64">
          <cell r="A64" t="str">
            <v>1700040L02Rik</v>
          </cell>
        </row>
        <row r="65">
          <cell r="A65" t="str">
            <v>Snhg11</v>
          </cell>
        </row>
        <row r="66">
          <cell r="A66" t="str">
            <v>Inhbb</v>
          </cell>
        </row>
        <row r="67">
          <cell r="A67" t="str">
            <v>Dio3os</v>
          </cell>
        </row>
        <row r="68">
          <cell r="A68" t="str">
            <v>Prss53</v>
          </cell>
        </row>
        <row r="69">
          <cell r="A69" t="str">
            <v>Esco2</v>
          </cell>
        </row>
        <row r="70">
          <cell r="A70" t="str">
            <v>Mfsd2a</v>
          </cell>
        </row>
        <row r="71">
          <cell r="A71" t="str">
            <v>Fam184b</v>
          </cell>
        </row>
        <row r="72">
          <cell r="A72" t="str">
            <v>Dnah17</v>
          </cell>
        </row>
        <row r="73">
          <cell r="A73" t="str">
            <v>Slc1a4</v>
          </cell>
        </row>
        <row r="74">
          <cell r="A74" t="str">
            <v>Gng7</v>
          </cell>
        </row>
        <row r="75">
          <cell r="A75" t="str">
            <v>1700056E22Rik</v>
          </cell>
        </row>
        <row r="76">
          <cell r="A76" t="str">
            <v>Lefty1</v>
          </cell>
        </row>
        <row r="77">
          <cell r="A77" t="str">
            <v>Smpd3</v>
          </cell>
        </row>
        <row r="78">
          <cell r="A78" t="str">
            <v>2810403D21Rik</v>
          </cell>
        </row>
        <row r="79">
          <cell r="A79" t="str">
            <v>P4ha2</v>
          </cell>
        </row>
        <row r="80">
          <cell r="A80" t="str">
            <v>Cand2</v>
          </cell>
        </row>
        <row r="81">
          <cell r="A81" t="str">
            <v>Syn3</v>
          </cell>
        </row>
        <row r="82">
          <cell r="A82" t="str">
            <v>Unc13a</v>
          </cell>
        </row>
        <row r="83">
          <cell r="A83" t="str">
            <v>AA986860</v>
          </cell>
        </row>
        <row r="84">
          <cell r="A84" t="str">
            <v>Nlrp12</v>
          </cell>
        </row>
        <row r="85">
          <cell r="A85" t="str">
            <v>1700030J22Rik</v>
          </cell>
        </row>
        <row r="86">
          <cell r="A86" t="str">
            <v>Cd79b</v>
          </cell>
        </row>
        <row r="87">
          <cell r="A87" t="str">
            <v>Dnah5</v>
          </cell>
        </row>
        <row r="88">
          <cell r="A88" t="str">
            <v>Nr4a2</v>
          </cell>
        </row>
        <row r="89">
          <cell r="A89" t="str">
            <v>Fos</v>
          </cell>
        </row>
        <row r="90">
          <cell r="A90" t="str">
            <v>C330021F23Rik</v>
          </cell>
        </row>
        <row r="91">
          <cell r="A91" t="str">
            <v>Gnat1</v>
          </cell>
        </row>
        <row r="92">
          <cell r="A92" t="str">
            <v>Pde6c</v>
          </cell>
        </row>
        <row r="93">
          <cell r="A93" t="str">
            <v>Cdkn1a</v>
          </cell>
        </row>
        <row r="94">
          <cell r="A94" t="str">
            <v>B930025P03Rik</v>
          </cell>
        </row>
        <row r="95">
          <cell r="A95" t="str">
            <v>Dlgap1</v>
          </cell>
        </row>
        <row r="96">
          <cell r="A96" t="str">
            <v>Eif4ebp3</v>
          </cell>
        </row>
        <row r="97">
          <cell r="A97" t="str">
            <v>Adamts7</v>
          </cell>
        </row>
        <row r="98">
          <cell r="A98" t="str">
            <v>Gramd1c</v>
          </cell>
        </row>
        <row r="99">
          <cell r="A99" t="str">
            <v>Tbc1d8</v>
          </cell>
        </row>
        <row r="100">
          <cell r="A100" t="str">
            <v>Fam46c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"/>
  <sheetViews>
    <sheetView tabSelected="1" workbookViewId="0">
      <selection activeCell="C1" sqref="C1"/>
    </sheetView>
  </sheetViews>
  <sheetFormatPr defaultRowHeight="14.25" x14ac:dyDescent="0.2"/>
  <sheetData>
    <row r="1" spans="1:8" x14ac:dyDescent="0.2">
      <c r="A1" t="s">
        <v>721</v>
      </c>
      <c r="B1" t="s">
        <v>722</v>
      </c>
      <c r="C1" t="s">
        <v>723</v>
      </c>
      <c r="D1" t="s">
        <v>724</v>
      </c>
      <c r="E1" t="s">
        <v>726</v>
      </c>
      <c r="F1" t="s">
        <v>727</v>
      </c>
      <c r="H1" t="s">
        <v>725</v>
      </c>
    </row>
    <row r="2" spans="1:8" x14ac:dyDescent="0.2">
      <c r="A2" s="1" t="s">
        <v>55</v>
      </c>
      <c r="B2" t="str">
        <f>VLOOKUP(A2,'[1]Table S2'!$B$3:$B$509,1,FALSE)</f>
        <v>Arc</v>
      </c>
      <c r="C2" t="e">
        <f>VLOOKUP(A2,'[1]Table S5'!$B$3:$B$641,1,FALSE)</f>
        <v>#N/A</v>
      </c>
      <c r="D2" t="str">
        <f>VLOOKUP(A2,[2]Sheet2!$A:$A,1,FALSE)</f>
        <v>Arc</v>
      </c>
      <c r="E2" t="str">
        <f>VLOOKUP(A2,[3]cortex!$A:$A,1,FALSE)</f>
        <v>Arc</v>
      </c>
      <c r="F2" t="e">
        <f>VLOOKUP(A2,[4]liver!$A:$A,1,FALSE)</f>
        <v>#N/A</v>
      </c>
      <c r="H2">
        <f t="shared" ref="H2:H65" si="0">COUNTIF(B2:G2,A2)</f>
        <v>3</v>
      </c>
    </row>
    <row r="3" spans="1:8" x14ac:dyDescent="0.2">
      <c r="A3" s="1" t="s">
        <v>221</v>
      </c>
      <c r="B3" t="e">
        <f>VLOOKUP(A3,'[1]Table S2'!$B$3:$B$509,1,FALSE)</f>
        <v>#N/A</v>
      </c>
      <c r="C3" t="e">
        <f>VLOOKUP(A3,'[1]Table S5'!$B$3:$B$641,1,FALSE)</f>
        <v>#N/A</v>
      </c>
      <c r="D3" t="str">
        <f>VLOOKUP(A3,[2]Sheet2!$A:$A,1,FALSE)</f>
        <v>Fos</v>
      </c>
      <c r="E3" t="str">
        <f>VLOOKUP(A3,[3]cortex!$A:$A,1,FALSE)</f>
        <v>Fos</v>
      </c>
      <c r="F3" t="str">
        <f>VLOOKUP(A3,[4]liver!$A:$A,1,FALSE)</f>
        <v>Fos</v>
      </c>
      <c r="H3">
        <f t="shared" si="0"/>
        <v>3</v>
      </c>
    </row>
    <row r="4" spans="1:8" x14ac:dyDescent="0.2">
      <c r="A4" s="1" t="s">
        <v>166</v>
      </c>
      <c r="B4" t="str">
        <f>VLOOKUP(A4,'[1]Table S2'!$B$3:$B$509,1,FALSE)</f>
        <v>D130043K22Rik</v>
      </c>
      <c r="C4" t="e">
        <f>VLOOKUP(A4,'[1]Table S5'!$B$3:$B$641,1,FALSE)</f>
        <v>#N/A</v>
      </c>
      <c r="D4" t="e">
        <f>VLOOKUP(A4,[2]Sheet2!$A:$A,1,FALSE)</f>
        <v>#N/A</v>
      </c>
      <c r="E4" t="e">
        <f>VLOOKUP(A4,[3]cortex!$A:$A,1,FALSE)</f>
        <v>#N/A</v>
      </c>
      <c r="F4" t="str">
        <f>VLOOKUP(A4,[4]liver!$A:$A,1,FALSE)</f>
        <v>D130043K22Rik</v>
      </c>
      <c r="H4">
        <f t="shared" si="0"/>
        <v>2</v>
      </c>
    </row>
    <row r="5" spans="1:8" x14ac:dyDescent="0.2">
      <c r="A5" s="1" t="s">
        <v>307</v>
      </c>
      <c r="B5" t="e">
        <f>VLOOKUP(A5,'[1]Table S2'!$B$3:$B$509,1,FALSE)</f>
        <v>#N/A</v>
      </c>
      <c r="C5" t="str">
        <f>VLOOKUP(A5,'[1]Table S5'!$B$3:$B$641,1,FALSE)</f>
        <v>Hunk</v>
      </c>
      <c r="D5" t="str">
        <f>VLOOKUP(A5,[2]Sheet2!$A:$A,1,FALSE)</f>
        <v>Hunk</v>
      </c>
      <c r="E5" t="e">
        <f>VLOOKUP(A5,[3]cortex!$A:$A,1,FALSE)</f>
        <v>#N/A</v>
      </c>
      <c r="F5" t="e">
        <f>VLOOKUP(A5,[4]liver!$A:$A,1,FALSE)</f>
        <v>#N/A</v>
      </c>
      <c r="H5">
        <f t="shared" si="0"/>
        <v>2</v>
      </c>
    </row>
    <row r="6" spans="1:8" x14ac:dyDescent="0.2">
      <c r="A6" s="1" t="s">
        <v>424</v>
      </c>
      <c r="B6" t="e">
        <f>VLOOKUP(A6,'[1]Table S2'!$B$3:$B$509,1,FALSE)</f>
        <v>#N/A</v>
      </c>
      <c r="C6" t="str">
        <f>VLOOKUP(A6,'[1]Table S5'!$B$3:$B$641,1,FALSE)</f>
        <v>Nr4a3</v>
      </c>
      <c r="D6" t="e">
        <f>VLOOKUP(A6,[2]Sheet2!$A:$A,1,FALSE)</f>
        <v>#N/A</v>
      </c>
      <c r="E6" t="str">
        <f>VLOOKUP(A6,[3]cortex!$A:$A,1,FALSE)</f>
        <v>Nr4a3</v>
      </c>
      <c r="F6" t="e">
        <f>VLOOKUP(A6,[4]liver!$A:$A,1,FALSE)</f>
        <v>#N/A</v>
      </c>
      <c r="H6">
        <f t="shared" si="0"/>
        <v>2</v>
      </c>
    </row>
    <row r="7" spans="1:8" x14ac:dyDescent="0.2">
      <c r="A7" s="1" t="s">
        <v>470</v>
      </c>
      <c r="B7" t="e">
        <f>VLOOKUP(A7,'[1]Table S2'!$B$3:$B$509,1,FALSE)</f>
        <v>#N/A</v>
      </c>
      <c r="C7" t="str">
        <f>VLOOKUP(A7,'[1]Table S5'!$B$3:$B$641,1,FALSE)</f>
        <v>Pla2g4e</v>
      </c>
      <c r="D7" t="e">
        <f>VLOOKUP(A7,[2]Sheet2!$A:$A,1,FALSE)</f>
        <v>#N/A</v>
      </c>
      <c r="E7" t="str">
        <f>VLOOKUP(A7,[3]cortex!$A:$A,1,FALSE)</f>
        <v>Pla2g4e</v>
      </c>
      <c r="F7" t="e">
        <f>VLOOKUP(A7,[4]liver!$A:$A,1,FALSE)</f>
        <v>#N/A</v>
      </c>
      <c r="H7">
        <f t="shared" si="0"/>
        <v>2</v>
      </c>
    </row>
    <row r="8" spans="1:8" x14ac:dyDescent="0.2">
      <c r="A8" s="1" t="s">
        <v>510</v>
      </c>
      <c r="B8" t="e">
        <f>VLOOKUP(A8,'[1]Table S2'!$B$3:$B$509,1,FALSE)</f>
        <v>#N/A</v>
      </c>
      <c r="C8" t="str">
        <f>VLOOKUP(A8,'[1]Table S5'!$B$3:$B$641,1,FALSE)</f>
        <v>Rad51ap2</v>
      </c>
      <c r="D8" t="str">
        <f>VLOOKUP(A8,[2]Sheet2!$A:$A,1,FALSE)</f>
        <v>Rad51ap2</v>
      </c>
      <c r="E8" t="e">
        <f>VLOOKUP(A8,[3]cortex!$A:$A,1,FALSE)</f>
        <v>#N/A</v>
      </c>
      <c r="F8" t="e">
        <f>VLOOKUP(A8,[4]liver!$A:$A,1,FALSE)</f>
        <v>#N/A</v>
      </c>
      <c r="H8">
        <f t="shared" si="0"/>
        <v>2</v>
      </c>
    </row>
    <row r="9" spans="1:8" x14ac:dyDescent="0.2">
      <c r="A9" s="1" t="s">
        <v>516</v>
      </c>
      <c r="B9" t="str">
        <f>VLOOKUP(A9,'[1]Table S2'!$B$3:$B$509,1,FALSE)</f>
        <v>Rasl10a</v>
      </c>
      <c r="C9" t="e">
        <f>VLOOKUP(A9,'[1]Table S5'!$B$3:$B$641,1,FALSE)</f>
        <v>#N/A</v>
      </c>
      <c r="D9" t="str">
        <f>VLOOKUP(A9,[2]Sheet2!$A:$A,1,FALSE)</f>
        <v>Rasl10a</v>
      </c>
      <c r="E9" t="e">
        <f>VLOOKUP(A9,[3]cortex!$A:$A,1,FALSE)</f>
        <v>#N/A</v>
      </c>
      <c r="F9" t="e">
        <f>VLOOKUP(A9,[4]liver!$A:$A,1,FALSE)</f>
        <v>#N/A</v>
      </c>
      <c r="H9">
        <f t="shared" si="0"/>
        <v>2</v>
      </c>
    </row>
    <row r="10" spans="1:8" x14ac:dyDescent="0.2">
      <c r="A10" s="1" t="s">
        <v>597</v>
      </c>
      <c r="B10" t="e">
        <f>VLOOKUP(A10,'[1]Table S2'!$B$3:$B$509,1,FALSE)</f>
        <v>#N/A</v>
      </c>
      <c r="C10" t="str">
        <f>VLOOKUP(A10,'[1]Table S5'!$B$3:$B$641,1,FALSE)</f>
        <v>Slc6a6</v>
      </c>
      <c r="D10" t="str">
        <f>VLOOKUP(A10,[2]Sheet2!$A:$A,1,FALSE)</f>
        <v>Slc6a6</v>
      </c>
      <c r="E10" t="e">
        <f>VLOOKUP(A10,[3]cortex!$A:$A,1,FALSE)</f>
        <v>#N/A</v>
      </c>
      <c r="F10" t="e">
        <f>VLOOKUP(A10,[4]liver!$A:$A,1,FALSE)</f>
        <v>#N/A</v>
      </c>
      <c r="H10">
        <f t="shared" si="0"/>
        <v>2</v>
      </c>
    </row>
    <row r="11" spans="1:8" x14ac:dyDescent="0.2">
      <c r="A11" s="1" t="s">
        <v>616</v>
      </c>
      <c r="B11" t="str">
        <f>VLOOKUP(A11,'[1]Table S2'!$B$3:$B$509,1,FALSE)</f>
        <v>Spred1</v>
      </c>
      <c r="C11" t="e">
        <f>VLOOKUP(A11,'[1]Table S5'!$B$3:$B$641,1,FALSE)</f>
        <v>#N/A</v>
      </c>
      <c r="D11" t="str">
        <f>VLOOKUP(A11,[2]Sheet2!$A:$A,1,FALSE)</f>
        <v>Spred1</v>
      </c>
      <c r="E11" t="e">
        <f>VLOOKUP(A11,[3]cortex!$A:$A,1,FALSE)</f>
        <v>#N/A</v>
      </c>
      <c r="F11" t="e">
        <f>VLOOKUP(A11,[4]liver!$A:$A,1,FALSE)</f>
        <v>#N/A</v>
      </c>
      <c r="H11">
        <f t="shared" si="0"/>
        <v>2</v>
      </c>
    </row>
    <row r="12" spans="1:8" x14ac:dyDescent="0.2">
      <c r="A12" s="1" t="s">
        <v>686</v>
      </c>
      <c r="B12" t="e">
        <f>VLOOKUP(A12,'[1]Table S2'!$B$3:$B$509,1,FALSE)</f>
        <v>#N/A</v>
      </c>
      <c r="C12" t="str">
        <f>VLOOKUP(A12,'[1]Table S5'!$B$3:$B$641,1,FALSE)</f>
        <v>Wnt9a</v>
      </c>
      <c r="D12" t="str">
        <f>VLOOKUP(A12,[2]Sheet2!$A:$A,1,FALSE)</f>
        <v>Wnt9a</v>
      </c>
      <c r="E12" t="e">
        <f>VLOOKUP(A12,[3]cortex!$A:$A,1,FALSE)</f>
        <v>#N/A</v>
      </c>
      <c r="F12" t="e">
        <f>VLOOKUP(A12,[4]liver!$A:$A,1,FALSE)</f>
        <v>#N/A</v>
      </c>
      <c r="H12">
        <f t="shared" si="0"/>
        <v>2</v>
      </c>
    </row>
    <row r="13" spans="1:8" x14ac:dyDescent="0.2">
      <c r="A13" s="1" t="s">
        <v>695</v>
      </c>
      <c r="B13" t="e">
        <f>VLOOKUP(A13,'[1]Table S2'!$B$3:$B$509,1,FALSE)</f>
        <v>#N/A</v>
      </c>
      <c r="C13" t="str">
        <f>VLOOKUP(A13,'[1]Table S5'!$B$3:$B$641,1,FALSE)</f>
        <v>Zdhhc8</v>
      </c>
      <c r="D13" t="str">
        <f>VLOOKUP(A13,[2]Sheet2!$A:$A,1,FALSE)</f>
        <v>Zdhhc8</v>
      </c>
      <c r="E13" t="e">
        <f>VLOOKUP(A13,[3]cortex!$A:$A,1,FALSE)</f>
        <v>#N/A</v>
      </c>
      <c r="F13" t="e">
        <f>VLOOKUP(A13,[4]liver!$A:$A,1,FALSE)</f>
        <v>#N/A</v>
      </c>
      <c r="H13">
        <f t="shared" si="0"/>
        <v>2</v>
      </c>
    </row>
    <row r="14" spans="1:8" x14ac:dyDescent="0.2">
      <c r="A14" s="1" t="s">
        <v>700</v>
      </c>
      <c r="B14" t="e">
        <f>VLOOKUP(A14,'[1]Table S2'!$B$3:$B$509,1,FALSE)</f>
        <v>#N/A</v>
      </c>
      <c r="C14" t="str">
        <f>VLOOKUP(A14,'[1]Table S5'!$B$3:$B$641,1,FALSE)</f>
        <v>Zfp46</v>
      </c>
      <c r="D14" t="str">
        <f>VLOOKUP(A14,[2]Sheet2!$A:$A,1,FALSE)</f>
        <v>Zfp46</v>
      </c>
      <c r="E14" t="e">
        <f>VLOOKUP(A14,[3]cortex!$A:$A,1,FALSE)</f>
        <v>#N/A</v>
      </c>
      <c r="F14" t="e">
        <f>VLOOKUP(A14,[4]liver!$A:$A,1,FALSE)</f>
        <v>#N/A</v>
      </c>
      <c r="H14">
        <f t="shared" si="0"/>
        <v>2</v>
      </c>
    </row>
    <row r="15" spans="1:8" x14ac:dyDescent="0.2">
      <c r="A15" s="1" t="s">
        <v>10</v>
      </c>
      <c r="B15" t="e">
        <f>VLOOKUP(A15,'[1]Table S2'!$B$3:$B$509,1,FALSE)</f>
        <v>#N/A</v>
      </c>
      <c r="C15" t="str">
        <f>VLOOKUP(A15,'[1]Table S5'!$B$3:$B$641,1,FALSE)</f>
        <v>Nrg3</v>
      </c>
      <c r="D15" t="e">
        <f>VLOOKUP(A15,[2]Sheet2!$A:$A,1,FALSE)</f>
        <v>#N/A</v>
      </c>
      <c r="E15" t="e">
        <f>VLOOKUP(A15,[3]cortex!$A:$A,1,FALSE)</f>
        <v>#N/A</v>
      </c>
      <c r="F15" t="e">
        <f>VLOOKUP(A15,[4]liver!$A:$A,1,FALSE)</f>
        <v>#N/A</v>
      </c>
      <c r="H15">
        <f t="shared" si="0"/>
        <v>1</v>
      </c>
    </row>
    <row r="16" spans="1:8" x14ac:dyDescent="0.2">
      <c r="A16" s="1" t="s">
        <v>37</v>
      </c>
      <c r="B16" t="e">
        <f>VLOOKUP(A16,'[1]Table S2'!$B$3:$B$509,1,FALSE)</f>
        <v>#N/A</v>
      </c>
      <c r="C16" t="str">
        <f>VLOOKUP(A16,'[1]Table S5'!$B$3:$B$641,1,FALSE)</f>
        <v>Actg1</v>
      </c>
      <c r="D16" t="e">
        <f>VLOOKUP(A16,[2]Sheet2!$A:$A,1,FALSE)</f>
        <v>#N/A</v>
      </c>
      <c r="E16" t="e">
        <f>VLOOKUP(A16,[3]cortex!$A:$A,1,FALSE)</f>
        <v>#N/A</v>
      </c>
      <c r="F16" t="e">
        <f>VLOOKUP(A16,[4]liver!$A:$A,1,FALSE)</f>
        <v>#N/A</v>
      </c>
      <c r="H16">
        <f t="shared" si="0"/>
        <v>1</v>
      </c>
    </row>
    <row r="17" spans="1:8" x14ac:dyDescent="0.2">
      <c r="A17" s="1" t="s">
        <v>42</v>
      </c>
      <c r="B17" t="e">
        <f>VLOOKUP(A17,'[1]Table S2'!$B$3:$B$509,1,FALSE)</f>
        <v>#N/A</v>
      </c>
      <c r="C17" t="str">
        <f>VLOOKUP(A17,'[1]Table S5'!$B$3:$B$641,1,FALSE)</f>
        <v>Adam23</v>
      </c>
      <c r="D17" t="e">
        <f>VLOOKUP(A17,[2]Sheet2!$A:$A,1,FALSE)</f>
        <v>#N/A</v>
      </c>
      <c r="E17" t="e">
        <f>VLOOKUP(A17,[3]cortex!$A:$A,1,FALSE)</f>
        <v>#N/A</v>
      </c>
      <c r="F17" t="e">
        <f>VLOOKUP(A17,[4]liver!$A:$A,1,FALSE)</f>
        <v>#N/A</v>
      </c>
      <c r="H17">
        <f t="shared" si="0"/>
        <v>1</v>
      </c>
    </row>
    <row r="18" spans="1:8" x14ac:dyDescent="0.2">
      <c r="A18" s="1" t="s">
        <v>46</v>
      </c>
      <c r="B18" t="e">
        <f>VLOOKUP(A18,'[1]Table S2'!$B$3:$B$509,1,FALSE)</f>
        <v>#N/A</v>
      </c>
      <c r="C18" t="str">
        <f>VLOOKUP(A18,'[1]Table S5'!$B$3:$B$641,1,FALSE)</f>
        <v>Adgrb3</v>
      </c>
      <c r="D18" t="e">
        <f>VLOOKUP(A18,[2]Sheet2!$A:$A,1,FALSE)</f>
        <v>#N/A</v>
      </c>
      <c r="E18" t="e">
        <f>VLOOKUP(A18,[3]cortex!$A:$A,1,FALSE)</f>
        <v>#N/A</v>
      </c>
      <c r="F18" t="e">
        <f>VLOOKUP(A18,[4]liver!$A:$A,1,FALSE)</f>
        <v>#N/A</v>
      </c>
      <c r="H18">
        <f t="shared" si="0"/>
        <v>1</v>
      </c>
    </row>
    <row r="19" spans="1:8" x14ac:dyDescent="0.2">
      <c r="A19" s="1" t="s">
        <v>52</v>
      </c>
      <c r="B19" t="e">
        <f>VLOOKUP(A19,'[1]Table S2'!$B$3:$B$509,1,FALSE)</f>
        <v>#N/A</v>
      </c>
      <c r="C19" t="str">
        <f>VLOOKUP(A19,'[1]Table S5'!$B$3:$B$641,1,FALSE)</f>
        <v>Ankrd28</v>
      </c>
      <c r="D19" t="e">
        <f>VLOOKUP(A19,[2]Sheet2!$A:$A,1,FALSE)</f>
        <v>#N/A</v>
      </c>
      <c r="E19" t="e">
        <f>VLOOKUP(A19,[3]cortex!$A:$A,1,FALSE)</f>
        <v>#N/A</v>
      </c>
      <c r="F19" t="e">
        <f>VLOOKUP(A19,[4]liver!$A:$A,1,FALSE)</f>
        <v>#N/A</v>
      </c>
      <c r="H19">
        <f t="shared" si="0"/>
        <v>1</v>
      </c>
    </row>
    <row r="20" spans="1:8" x14ac:dyDescent="0.2">
      <c r="A20" s="1" t="s">
        <v>53</v>
      </c>
      <c r="B20" t="str">
        <f>VLOOKUP(A20,'[1]Table S2'!$B$3:$B$509,1,FALSE)</f>
        <v>Ankrd6</v>
      </c>
      <c r="C20" t="e">
        <f>VLOOKUP(A20,'[1]Table S5'!$B$3:$B$641,1,FALSE)</f>
        <v>#N/A</v>
      </c>
      <c r="D20" t="e">
        <f>VLOOKUP(A20,[2]Sheet2!$A:$A,1,FALSE)</f>
        <v>#N/A</v>
      </c>
      <c r="E20" t="e">
        <f>VLOOKUP(A20,[3]cortex!$A:$A,1,FALSE)</f>
        <v>#N/A</v>
      </c>
      <c r="F20" t="e">
        <f>VLOOKUP(A20,[4]liver!$A:$A,1,FALSE)</f>
        <v>#N/A</v>
      </c>
      <c r="H20">
        <f t="shared" si="0"/>
        <v>1</v>
      </c>
    </row>
    <row r="21" spans="1:8" x14ac:dyDescent="0.2">
      <c r="A21" s="1" t="s">
        <v>54</v>
      </c>
      <c r="B21" t="e">
        <f>VLOOKUP(A21,'[1]Table S2'!$B$3:$B$509,1,FALSE)</f>
        <v>#N/A</v>
      </c>
      <c r="C21" t="str">
        <f>VLOOKUP(A21,'[1]Table S5'!$B$3:$B$641,1,FALSE)</f>
        <v>Apbb2</v>
      </c>
      <c r="D21" t="e">
        <f>VLOOKUP(A21,[2]Sheet2!$A:$A,1,FALSE)</f>
        <v>#N/A</v>
      </c>
      <c r="E21" t="e">
        <f>VLOOKUP(A21,[3]cortex!$A:$A,1,FALSE)</f>
        <v>#N/A</v>
      </c>
      <c r="F21" t="e">
        <f>VLOOKUP(A21,[4]liver!$A:$A,1,FALSE)</f>
        <v>#N/A</v>
      </c>
      <c r="H21">
        <f t="shared" si="0"/>
        <v>1</v>
      </c>
    </row>
    <row r="22" spans="1:8" x14ac:dyDescent="0.2">
      <c r="A22" s="1" t="s">
        <v>61</v>
      </c>
      <c r="B22" t="e">
        <f>VLOOKUP(A22,'[1]Table S2'!$B$3:$B$509,1,FALSE)</f>
        <v>#N/A</v>
      </c>
      <c r="C22" t="str">
        <f>VLOOKUP(A22,'[1]Table S5'!$B$3:$B$641,1,FALSE)</f>
        <v>Arhgap44</v>
      </c>
      <c r="D22" t="e">
        <f>VLOOKUP(A22,[2]Sheet2!$A:$A,1,FALSE)</f>
        <v>#N/A</v>
      </c>
      <c r="E22" t="e">
        <f>VLOOKUP(A22,[3]cortex!$A:$A,1,FALSE)</f>
        <v>#N/A</v>
      </c>
      <c r="F22" t="e">
        <f>VLOOKUP(A22,[4]liver!$A:$A,1,FALSE)</f>
        <v>#N/A</v>
      </c>
      <c r="H22">
        <f t="shared" si="0"/>
        <v>1</v>
      </c>
    </row>
    <row r="23" spans="1:8" x14ac:dyDescent="0.2">
      <c r="A23" s="1" t="s">
        <v>65</v>
      </c>
      <c r="B23" t="e">
        <f>VLOOKUP(A23,'[1]Table S2'!$B$3:$B$509,1,FALSE)</f>
        <v>#N/A</v>
      </c>
      <c r="C23" t="str">
        <f>VLOOKUP(A23,'[1]Table S5'!$B$3:$B$641,1,FALSE)</f>
        <v>Arnt2</v>
      </c>
      <c r="D23" t="e">
        <f>VLOOKUP(A23,[2]Sheet2!$A:$A,1,FALSE)</f>
        <v>#N/A</v>
      </c>
      <c r="E23" t="e">
        <f>VLOOKUP(A23,[3]cortex!$A:$A,1,FALSE)</f>
        <v>#N/A</v>
      </c>
      <c r="F23" t="e">
        <f>VLOOKUP(A23,[4]liver!$A:$A,1,FALSE)</f>
        <v>#N/A</v>
      </c>
      <c r="H23">
        <f t="shared" si="0"/>
        <v>1</v>
      </c>
    </row>
    <row r="24" spans="1:8" x14ac:dyDescent="0.2">
      <c r="A24" s="1" t="s">
        <v>76</v>
      </c>
      <c r="B24" t="e">
        <f>VLOOKUP(A24,'[1]Table S2'!$B$3:$B$509,1,FALSE)</f>
        <v>#N/A</v>
      </c>
      <c r="C24" t="e">
        <f>VLOOKUP(A24,'[1]Table S5'!$B$3:$B$641,1,FALSE)</f>
        <v>#N/A</v>
      </c>
      <c r="D24" t="str">
        <f>VLOOKUP(A24,[2]Sheet2!$A:$A,1,FALSE)</f>
        <v>Atp2b2</v>
      </c>
      <c r="E24" t="e">
        <f>VLOOKUP(A24,[3]cortex!$A:$A,1,FALSE)</f>
        <v>#N/A</v>
      </c>
      <c r="F24" t="e">
        <f>VLOOKUP(A24,[4]liver!$A:$A,1,FALSE)</f>
        <v>#N/A</v>
      </c>
      <c r="H24">
        <f t="shared" si="0"/>
        <v>1</v>
      </c>
    </row>
    <row r="25" spans="1:8" x14ac:dyDescent="0.2">
      <c r="A25" s="1" t="s">
        <v>90</v>
      </c>
      <c r="B25" t="e">
        <f>VLOOKUP(A25,'[1]Table S2'!$B$3:$B$509,1,FALSE)</f>
        <v>#N/A</v>
      </c>
      <c r="C25" t="e">
        <f>VLOOKUP(A25,'[1]Table S5'!$B$3:$B$641,1,FALSE)</f>
        <v>#N/A</v>
      </c>
      <c r="D25" t="e">
        <f>VLOOKUP(A25,[2]Sheet2!$A:$A,1,FALSE)</f>
        <v>#N/A</v>
      </c>
      <c r="E25" t="str">
        <f>VLOOKUP(A25,[3]cortex!$A:$A,1,FALSE)</f>
        <v>Bace2</v>
      </c>
      <c r="F25" t="e">
        <f>VLOOKUP(A25,[4]liver!$A:$A,1,FALSE)</f>
        <v>#N/A</v>
      </c>
      <c r="H25">
        <f t="shared" si="0"/>
        <v>1</v>
      </c>
    </row>
    <row r="26" spans="1:8" x14ac:dyDescent="0.2">
      <c r="A26" s="1" t="s">
        <v>99</v>
      </c>
      <c r="B26" t="e">
        <f>VLOOKUP(A26,'[1]Table S2'!$B$3:$B$509,1,FALSE)</f>
        <v>#N/A</v>
      </c>
      <c r="C26" t="str">
        <f>VLOOKUP(A26,'[1]Table S5'!$B$3:$B$641,1,FALSE)</f>
        <v>Brinp1</v>
      </c>
      <c r="D26" t="e">
        <f>VLOOKUP(A26,[2]Sheet2!$A:$A,1,FALSE)</f>
        <v>#N/A</v>
      </c>
      <c r="E26" t="e">
        <f>VLOOKUP(A26,[3]cortex!$A:$A,1,FALSE)</f>
        <v>#N/A</v>
      </c>
      <c r="F26" t="e">
        <f>VLOOKUP(A26,[4]liver!$A:$A,1,FALSE)</f>
        <v>#N/A</v>
      </c>
      <c r="H26">
        <f t="shared" si="0"/>
        <v>1</v>
      </c>
    </row>
    <row r="27" spans="1:8" x14ac:dyDescent="0.2">
      <c r="A27" s="1" t="s">
        <v>116</v>
      </c>
      <c r="B27" t="e">
        <f>VLOOKUP(A27,'[1]Table S2'!$B$3:$B$509,1,FALSE)</f>
        <v>#N/A</v>
      </c>
      <c r="C27" t="str">
        <f>VLOOKUP(A27,'[1]Table S5'!$B$3:$B$641,1,FALSE)</f>
        <v>Cask</v>
      </c>
      <c r="D27" t="e">
        <f>VLOOKUP(A27,[2]Sheet2!$A:$A,1,FALSE)</f>
        <v>#N/A</v>
      </c>
      <c r="E27" t="e">
        <f>VLOOKUP(A27,[3]cortex!$A:$A,1,FALSE)</f>
        <v>#N/A</v>
      </c>
      <c r="F27" t="e">
        <f>VLOOKUP(A27,[4]liver!$A:$A,1,FALSE)</f>
        <v>#N/A</v>
      </c>
      <c r="H27">
        <f t="shared" si="0"/>
        <v>1</v>
      </c>
    </row>
    <row r="28" spans="1:8" x14ac:dyDescent="0.2">
      <c r="A28" s="1" t="s">
        <v>163</v>
      </c>
      <c r="B28" t="e">
        <f>VLOOKUP(A28,'[1]Table S2'!$B$3:$B$509,1,FALSE)</f>
        <v>#N/A</v>
      </c>
      <c r="C28" t="str">
        <f>VLOOKUP(A28,'[1]Table S5'!$B$3:$B$641,1,FALSE)</f>
        <v>Cttnbp2</v>
      </c>
      <c r="D28" t="e">
        <f>VLOOKUP(A28,[2]Sheet2!$A:$A,1,FALSE)</f>
        <v>#N/A</v>
      </c>
      <c r="E28" t="e">
        <f>VLOOKUP(A28,[3]cortex!$A:$A,1,FALSE)</f>
        <v>#N/A</v>
      </c>
      <c r="F28" t="e">
        <f>VLOOKUP(A28,[4]liver!$A:$A,1,FALSE)</f>
        <v>#N/A</v>
      </c>
      <c r="H28">
        <f t="shared" si="0"/>
        <v>1</v>
      </c>
    </row>
    <row r="29" spans="1:8" x14ac:dyDescent="0.2">
      <c r="A29" s="1" t="s">
        <v>195</v>
      </c>
      <c r="B29" t="e">
        <f>VLOOKUP(A29,'[1]Table S2'!$B$3:$B$509,1,FALSE)</f>
        <v>#N/A</v>
      </c>
      <c r="C29" t="e">
        <f>VLOOKUP(A29,'[1]Table S5'!$B$3:$B$641,1,FALSE)</f>
        <v>#N/A</v>
      </c>
      <c r="D29" t="e">
        <f>VLOOKUP(A29,[2]Sheet2!$A:$A,1,FALSE)</f>
        <v>#N/A</v>
      </c>
      <c r="E29" t="str">
        <f>VLOOKUP(A29,[3]cortex!$A:$A,1,FALSE)</f>
        <v>Egr1</v>
      </c>
      <c r="F29" t="e">
        <f>VLOOKUP(A29,[4]liver!$A:$A,1,FALSE)</f>
        <v>#N/A</v>
      </c>
      <c r="H29">
        <f t="shared" si="0"/>
        <v>1</v>
      </c>
    </row>
    <row r="30" spans="1:8" x14ac:dyDescent="0.2">
      <c r="A30" s="1" t="s">
        <v>196</v>
      </c>
      <c r="B30" t="e">
        <f>VLOOKUP(A30,'[1]Table S2'!$B$3:$B$509,1,FALSE)</f>
        <v>#N/A</v>
      </c>
      <c r="C30" t="e">
        <f>VLOOKUP(A30,'[1]Table S5'!$B$3:$B$641,1,FALSE)</f>
        <v>#N/A</v>
      </c>
      <c r="D30" t="e">
        <f>VLOOKUP(A30,[2]Sheet2!$A:$A,1,FALSE)</f>
        <v>#N/A</v>
      </c>
      <c r="E30" t="str">
        <f>VLOOKUP(A30,[3]cortex!$A:$A,1,FALSE)</f>
        <v>Egr3</v>
      </c>
      <c r="F30" t="e">
        <f>VLOOKUP(A30,[4]liver!$A:$A,1,FALSE)</f>
        <v>#N/A</v>
      </c>
      <c r="H30">
        <f t="shared" si="0"/>
        <v>1</v>
      </c>
    </row>
    <row r="31" spans="1:8" x14ac:dyDescent="0.2">
      <c r="A31" s="1" t="s">
        <v>199</v>
      </c>
      <c r="B31" t="e">
        <f>VLOOKUP(A31,'[1]Table S2'!$B$3:$B$509,1,FALSE)</f>
        <v>#N/A</v>
      </c>
      <c r="C31" t="str">
        <f>VLOOKUP(A31,'[1]Table S5'!$B$3:$B$641,1,FALSE)</f>
        <v>Enah</v>
      </c>
      <c r="D31" t="e">
        <f>VLOOKUP(A31,[2]Sheet2!$A:$A,1,FALSE)</f>
        <v>#N/A</v>
      </c>
      <c r="E31" t="e">
        <f>VLOOKUP(A31,[3]cortex!$A:$A,1,FALSE)</f>
        <v>#N/A</v>
      </c>
      <c r="F31" t="e">
        <f>VLOOKUP(A31,[4]liver!$A:$A,1,FALSE)</f>
        <v>#N/A</v>
      </c>
      <c r="H31">
        <f t="shared" si="0"/>
        <v>1</v>
      </c>
    </row>
    <row r="32" spans="1:8" x14ac:dyDescent="0.2">
      <c r="A32" s="1" t="s">
        <v>215</v>
      </c>
      <c r="B32" t="e">
        <f>VLOOKUP(A32,'[1]Table S2'!$B$3:$B$509,1,FALSE)</f>
        <v>#N/A</v>
      </c>
      <c r="C32" t="str">
        <f>VLOOKUP(A32,'[1]Table S5'!$B$3:$B$641,1,FALSE)</f>
        <v>Fbxo34</v>
      </c>
      <c r="D32" t="e">
        <f>VLOOKUP(A32,[2]Sheet2!$A:$A,1,FALSE)</f>
        <v>#N/A</v>
      </c>
      <c r="E32" t="e">
        <f>VLOOKUP(A32,[3]cortex!$A:$A,1,FALSE)</f>
        <v>#N/A</v>
      </c>
      <c r="F32" t="e">
        <f>VLOOKUP(A32,[4]liver!$A:$A,1,FALSE)</f>
        <v>#N/A</v>
      </c>
      <c r="H32">
        <f t="shared" si="0"/>
        <v>1</v>
      </c>
    </row>
    <row r="33" spans="1:8" x14ac:dyDescent="0.2">
      <c r="A33" s="1" t="s">
        <v>220</v>
      </c>
      <c r="B33" t="e">
        <f>VLOOKUP(A33,'[1]Table S2'!$B$3:$B$509,1,FALSE)</f>
        <v>#N/A</v>
      </c>
      <c r="C33" t="str">
        <f>VLOOKUP(A33,'[1]Table S5'!$B$3:$B$641,1,FALSE)</f>
        <v>Fntb</v>
      </c>
      <c r="D33" t="e">
        <f>VLOOKUP(A33,[2]Sheet2!$A:$A,1,FALSE)</f>
        <v>#N/A</v>
      </c>
      <c r="E33" t="e">
        <f>VLOOKUP(A33,[3]cortex!$A:$A,1,FALSE)</f>
        <v>#N/A</v>
      </c>
      <c r="F33" t="e">
        <f>VLOOKUP(A33,[4]liver!$A:$A,1,FALSE)</f>
        <v>#N/A</v>
      </c>
      <c r="H33">
        <f t="shared" si="0"/>
        <v>1</v>
      </c>
    </row>
    <row r="34" spans="1:8" x14ac:dyDescent="0.2">
      <c r="A34" s="1" t="s">
        <v>222</v>
      </c>
      <c r="B34" t="e">
        <f>VLOOKUP(A34,'[1]Table S2'!$B$3:$B$509,1,FALSE)</f>
        <v>#N/A</v>
      </c>
      <c r="C34" t="e">
        <f>VLOOKUP(A34,'[1]Table S5'!$B$3:$B$641,1,FALSE)</f>
        <v>#N/A</v>
      </c>
      <c r="D34" t="e">
        <f>VLOOKUP(A34,[2]Sheet2!$A:$A,1,FALSE)</f>
        <v>#N/A</v>
      </c>
      <c r="E34" t="str">
        <f>VLOOKUP(A34,[3]cortex!$A:$A,1,FALSE)</f>
        <v>Fosl2</v>
      </c>
      <c r="F34" t="e">
        <f>VLOOKUP(A34,[4]liver!$A:$A,1,FALSE)</f>
        <v>#N/A</v>
      </c>
      <c r="H34">
        <f t="shared" si="0"/>
        <v>1</v>
      </c>
    </row>
    <row r="35" spans="1:8" x14ac:dyDescent="0.2">
      <c r="A35" s="1" t="s">
        <v>285</v>
      </c>
      <c r="B35" t="e">
        <f>VLOOKUP(A35,'[1]Table S2'!$B$3:$B$509,1,FALSE)</f>
        <v>#N/A</v>
      </c>
      <c r="C35" t="str">
        <f>VLOOKUP(A35,'[1]Table S5'!$B$3:$B$641,1,FALSE)</f>
        <v>Grik5</v>
      </c>
      <c r="D35" t="e">
        <f>VLOOKUP(A35,[2]Sheet2!$A:$A,1,FALSE)</f>
        <v>#N/A</v>
      </c>
      <c r="E35" t="e">
        <f>VLOOKUP(A35,[3]cortex!$A:$A,1,FALSE)</f>
        <v>#N/A</v>
      </c>
      <c r="F35" t="e">
        <f>VLOOKUP(A35,[4]liver!$A:$A,1,FALSE)</f>
        <v>#N/A</v>
      </c>
      <c r="H35">
        <f t="shared" si="0"/>
        <v>1</v>
      </c>
    </row>
    <row r="36" spans="1:8" x14ac:dyDescent="0.2">
      <c r="A36" s="1" t="s">
        <v>288</v>
      </c>
      <c r="B36" t="e">
        <f>VLOOKUP(A36,'[1]Table S2'!$B$3:$B$509,1,FALSE)</f>
        <v>#N/A</v>
      </c>
      <c r="C36" t="e">
        <f>VLOOKUP(A36,'[1]Table S5'!$B$3:$B$641,1,FALSE)</f>
        <v>#N/A</v>
      </c>
      <c r="D36" t="str">
        <f>VLOOKUP(A36,[2]Sheet2!$A:$A,1,FALSE)</f>
        <v>Grm3</v>
      </c>
      <c r="E36" t="e">
        <f>VLOOKUP(A36,[3]cortex!$A:$A,1,FALSE)</f>
        <v>#N/A</v>
      </c>
      <c r="F36" t="e">
        <f>VLOOKUP(A36,[4]liver!$A:$A,1,FALSE)</f>
        <v>#N/A</v>
      </c>
      <c r="H36">
        <f t="shared" si="0"/>
        <v>1</v>
      </c>
    </row>
    <row r="37" spans="1:8" x14ac:dyDescent="0.2">
      <c r="A37" s="1" t="s">
        <v>292</v>
      </c>
      <c r="B37" t="e">
        <f>VLOOKUP(A37,'[1]Table S2'!$B$3:$B$509,1,FALSE)</f>
        <v>#N/A</v>
      </c>
      <c r="C37" t="str">
        <f>VLOOKUP(A37,'[1]Table S5'!$B$3:$B$641,1,FALSE)</f>
        <v>H3f3b</v>
      </c>
      <c r="D37" t="e">
        <f>VLOOKUP(A37,[2]Sheet2!$A:$A,1,FALSE)</f>
        <v>#N/A</v>
      </c>
      <c r="E37" t="e">
        <f>VLOOKUP(A37,[3]cortex!$A:$A,1,FALSE)</f>
        <v>#N/A</v>
      </c>
      <c r="F37" t="e">
        <f>VLOOKUP(A37,[4]liver!$A:$A,1,FALSE)</f>
        <v>#N/A</v>
      </c>
      <c r="H37">
        <f t="shared" si="0"/>
        <v>1</v>
      </c>
    </row>
    <row r="38" spans="1:8" x14ac:dyDescent="0.2">
      <c r="A38" s="1" t="s">
        <v>294</v>
      </c>
      <c r="B38" t="str">
        <f>VLOOKUP(A38,'[1]Table S2'!$B$3:$B$509,1,FALSE)</f>
        <v>Hdac4</v>
      </c>
      <c r="C38" t="e">
        <f>VLOOKUP(A38,'[1]Table S5'!$B$3:$B$641,1,FALSE)</f>
        <v>#N/A</v>
      </c>
      <c r="D38" t="e">
        <f>VLOOKUP(A38,[2]Sheet2!$A:$A,1,FALSE)</f>
        <v>#N/A</v>
      </c>
      <c r="E38" t="e">
        <f>VLOOKUP(A38,[3]cortex!$A:$A,1,FALSE)</f>
        <v>#N/A</v>
      </c>
      <c r="F38" t="e">
        <f>VLOOKUP(A38,[4]liver!$A:$A,1,FALSE)</f>
        <v>#N/A</v>
      </c>
      <c r="H38">
        <f t="shared" si="0"/>
        <v>1</v>
      </c>
    </row>
    <row r="39" spans="1:8" x14ac:dyDescent="0.2">
      <c r="A39" s="1" t="s">
        <v>298</v>
      </c>
      <c r="B39" t="str">
        <f>VLOOKUP(A39,'[1]Table S2'!$B$3:$B$509,1,FALSE)</f>
        <v>Hnrnph1</v>
      </c>
      <c r="C39" t="e">
        <f>VLOOKUP(A39,'[1]Table S5'!$B$3:$B$641,1,FALSE)</f>
        <v>#N/A</v>
      </c>
      <c r="D39" t="e">
        <f>VLOOKUP(A39,[2]Sheet2!$A:$A,1,FALSE)</f>
        <v>#N/A</v>
      </c>
      <c r="E39" t="e">
        <f>VLOOKUP(A39,[3]cortex!$A:$A,1,FALSE)</f>
        <v>#N/A</v>
      </c>
      <c r="F39" t="e">
        <f>VLOOKUP(A39,[4]liver!$A:$A,1,FALSE)</f>
        <v>#N/A</v>
      </c>
      <c r="H39">
        <f t="shared" si="0"/>
        <v>1</v>
      </c>
    </row>
    <row r="40" spans="1:8" x14ac:dyDescent="0.2">
      <c r="A40" s="1" t="s">
        <v>301</v>
      </c>
      <c r="B40" t="e">
        <f>VLOOKUP(A40,'[1]Table S2'!$B$3:$B$509,1,FALSE)</f>
        <v>#N/A</v>
      </c>
      <c r="C40" t="e">
        <f>VLOOKUP(A40,'[1]Table S5'!$B$3:$B$641,1,FALSE)</f>
        <v>#N/A</v>
      </c>
      <c r="D40" t="str">
        <f>VLOOKUP(A40,[2]Sheet2!$A:$A,1,FALSE)</f>
        <v>Homer1</v>
      </c>
      <c r="E40" t="e">
        <f>VLOOKUP(A40,[3]cortex!$A:$A,1,FALSE)</f>
        <v>#N/A</v>
      </c>
      <c r="F40" t="e">
        <f>VLOOKUP(A40,[4]liver!$A:$A,1,FALSE)</f>
        <v>#N/A</v>
      </c>
      <c r="H40">
        <f t="shared" si="0"/>
        <v>1</v>
      </c>
    </row>
    <row r="41" spans="1:8" x14ac:dyDescent="0.2">
      <c r="A41" s="1" t="s">
        <v>314</v>
      </c>
      <c r="B41" t="e">
        <f>VLOOKUP(A41,'[1]Table S2'!$B$3:$B$509,1,FALSE)</f>
        <v>#N/A</v>
      </c>
      <c r="C41" t="str">
        <f>VLOOKUP(A41,'[1]Table S5'!$B$3:$B$641,1,FALSE)</f>
        <v>Ino80</v>
      </c>
      <c r="D41" t="e">
        <f>VLOOKUP(A41,[2]Sheet2!$A:$A,1,FALSE)</f>
        <v>#N/A</v>
      </c>
      <c r="E41" t="e">
        <f>VLOOKUP(A41,[3]cortex!$A:$A,1,FALSE)</f>
        <v>#N/A</v>
      </c>
      <c r="F41" t="e">
        <f>VLOOKUP(A41,[4]liver!$A:$A,1,FALSE)</f>
        <v>#N/A</v>
      </c>
      <c r="H41">
        <f t="shared" si="0"/>
        <v>1</v>
      </c>
    </row>
    <row r="42" spans="1:8" x14ac:dyDescent="0.2">
      <c r="A42" s="1" t="s">
        <v>315</v>
      </c>
      <c r="B42" t="e">
        <f>VLOOKUP(A42,'[1]Table S2'!$B$3:$B$509,1,FALSE)</f>
        <v>#N/A</v>
      </c>
      <c r="C42" t="str">
        <f>VLOOKUP(A42,'[1]Table S5'!$B$3:$B$641,1,FALSE)</f>
        <v>Iqsec1</v>
      </c>
      <c r="D42" t="e">
        <f>VLOOKUP(A42,[2]Sheet2!$A:$A,1,FALSE)</f>
        <v>#N/A</v>
      </c>
      <c r="E42" t="e">
        <f>VLOOKUP(A42,[3]cortex!$A:$A,1,FALSE)</f>
        <v>#N/A</v>
      </c>
      <c r="F42" t="e">
        <f>VLOOKUP(A42,[4]liver!$A:$A,1,FALSE)</f>
        <v>#N/A</v>
      </c>
      <c r="H42">
        <f t="shared" si="0"/>
        <v>1</v>
      </c>
    </row>
    <row r="43" spans="1:8" x14ac:dyDescent="0.2">
      <c r="A43" s="1" t="s">
        <v>316</v>
      </c>
      <c r="B43" t="e">
        <f>VLOOKUP(A43,'[1]Table S2'!$B$3:$B$509,1,FALSE)</f>
        <v>#N/A</v>
      </c>
      <c r="C43" t="str">
        <f>VLOOKUP(A43,'[1]Table S5'!$B$3:$B$641,1,FALSE)</f>
        <v>Itga8</v>
      </c>
      <c r="D43" t="e">
        <f>VLOOKUP(A43,[2]Sheet2!$A:$A,1,FALSE)</f>
        <v>#N/A</v>
      </c>
      <c r="E43" t="e">
        <f>VLOOKUP(A43,[3]cortex!$A:$A,1,FALSE)</f>
        <v>#N/A</v>
      </c>
      <c r="F43" t="e">
        <f>VLOOKUP(A43,[4]liver!$A:$A,1,FALSE)</f>
        <v>#N/A</v>
      </c>
      <c r="H43">
        <f t="shared" si="0"/>
        <v>1</v>
      </c>
    </row>
    <row r="44" spans="1:8" x14ac:dyDescent="0.2">
      <c r="A44" s="1" t="s">
        <v>323</v>
      </c>
      <c r="B44" t="e">
        <f>VLOOKUP(A44,'[1]Table S2'!$B$3:$B$509,1,FALSE)</f>
        <v>#N/A</v>
      </c>
      <c r="C44" t="e">
        <f>VLOOKUP(A44,'[1]Table S5'!$B$3:$B$641,1,FALSE)</f>
        <v>#N/A</v>
      </c>
      <c r="D44" t="e">
        <f>VLOOKUP(A44,[2]Sheet2!$A:$A,1,FALSE)</f>
        <v>#N/A</v>
      </c>
      <c r="E44" t="str">
        <f>VLOOKUP(A44,[3]cortex!$A:$A,1,FALSE)</f>
        <v>Junb</v>
      </c>
      <c r="F44" t="e">
        <f>VLOOKUP(A44,[4]liver!$A:$A,1,FALSE)</f>
        <v>#N/A</v>
      </c>
      <c r="H44">
        <f t="shared" si="0"/>
        <v>1</v>
      </c>
    </row>
    <row r="45" spans="1:8" x14ac:dyDescent="0.2">
      <c r="A45" s="1" t="s">
        <v>324</v>
      </c>
      <c r="B45" t="e">
        <f>VLOOKUP(A45,'[1]Table S2'!$B$3:$B$509,1,FALSE)</f>
        <v>#N/A</v>
      </c>
      <c r="C45" t="str">
        <f>VLOOKUP(A45,'[1]Table S5'!$B$3:$B$641,1,FALSE)</f>
        <v>Kalrn</v>
      </c>
      <c r="D45" t="e">
        <f>VLOOKUP(A45,[2]Sheet2!$A:$A,1,FALSE)</f>
        <v>#N/A</v>
      </c>
      <c r="E45" t="e">
        <f>VLOOKUP(A45,[3]cortex!$A:$A,1,FALSE)</f>
        <v>#N/A</v>
      </c>
      <c r="F45" t="e">
        <f>VLOOKUP(A45,[4]liver!$A:$A,1,FALSE)</f>
        <v>#N/A</v>
      </c>
      <c r="H45">
        <f t="shared" si="0"/>
        <v>1</v>
      </c>
    </row>
    <row r="46" spans="1:8" x14ac:dyDescent="0.2">
      <c r="A46" s="1" t="s">
        <v>338</v>
      </c>
      <c r="B46" t="e">
        <f>VLOOKUP(A46,'[1]Table S2'!$B$3:$B$509,1,FALSE)</f>
        <v>#N/A</v>
      </c>
      <c r="C46" t="str">
        <f>VLOOKUP(A46,'[1]Table S5'!$B$3:$B$641,1,FALSE)</f>
        <v>Ldlr</v>
      </c>
      <c r="D46" t="e">
        <f>VLOOKUP(A46,[2]Sheet2!$A:$A,1,FALSE)</f>
        <v>#N/A</v>
      </c>
      <c r="E46" t="e">
        <f>VLOOKUP(A46,[3]cortex!$A:$A,1,FALSE)</f>
        <v>#N/A</v>
      </c>
      <c r="F46" t="e">
        <f>VLOOKUP(A46,[4]liver!$A:$A,1,FALSE)</f>
        <v>#N/A</v>
      </c>
      <c r="H46">
        <f t="shared" si="0"/>
        <v>1</v>
      </c>
    </row>
    <row r="47" spans="1:8" x14ac:dyDescent="0.2">
      <c r="A47" s="1" t="s">
        <v>342</v>
      </c>
      <c r="B47" t="e">
        <f>VLOOKUP(A47,'[1]Table S2'!$B$3:$B$509,1,FALSE)</f>
        <v>#N/A</v>
      </c>
      <c r="C47" t="str">
        <f>VLOOKUP(A47,'[1]Table S5'!$B$3:$B$641,1,FALSE)</f>
        <v>Lmo4</v>
      </c>
      <c r="D47" t="e">
        <f>VLOOKUP(A47,[2]Sheet2!$A:$A,1,FALSE)</f>
        <v>#N/A</v>
      </c>
      <c r="E47" t="e">
        <f>VLOOKUP(A47,[3]cortex!$A:$A,1,FALSE)</f>
        <v>#N/A</v>
      </c>
      <c r="F47" t="e">
        <f>VLOOKUP(A47,[4]liver!$A:$A,1,FALSE)</f>
        <v>#N/A</v>
      </c>
      <c r="H47">
        <f t="shared" si="0"/>
        <v>1</v>
      </c>
    </row>
    <row r="48" spans="1:8" x14ac:dyDescent="0.2">
      <c r="A48" s="1" t="s">
        <v>368</v>
      </c>
      <c r="B48" t="e">
        <f>VLOOKUP(A48,'[1]Table S2'!$B$3:$B$509,1,FALSE)</f>
        <v>#N/A</v>
      </c>
      <c r="C48" t="str">
        <f>VLOOKUP(A48,'[1]Table S5'!$B$3:$B$641,1,FALSE)</f>
        <v>Mfsd4a</v>
      </c>
      <c r="D48" t="e">
        <f>VLOOKUP(A48,[2]Sheet2!$A:$A,1,FALSE)</f>
        <v>#N/A</v>
      </c>
      <c r="E48" t="e">
        <f>VLOOKUP(A48,[3]cortex!$A:$A,1,FALSE)</f>
        <v>#N/A</v>
      </c>
      <c r="F48" t="e">
        <f>VLOOKUP(A48,[4]liver!$A:$A,1,FALSE)</f>
        <v>#N/A</v>
      </c>
      <c r="H48">
        <f t="shared" si="0"/>
        <v>1</v>
      </c>
    </row>
    <row r="49" spans="1:8" x14ac:dyDescent="0.2">
      <c r="A49" s="1" t="s">
        <v>370</v>
      </c>
      <c r="B49" t="e">
        <f>VLOOKUP(A49,'[1]Table S2'!$B$3:$B$509,1,FALSE)</f>
        <v>#N/A</v>
      </c>
      <c r="C49" t="e">
        <f>VLOOKUP(A49,'[1]Table S5'!$B$3:$B$641,1,FALSE)</f>
        <v>#N/A</v>
      </c>
      <c r="D49" t="str">
        <f>VLOOKUP(A49,[2]Sheet2!$A:$A,1,FALSE)</f>
        <v>Mical3</v>
      </c>
      <c r="E49" t="e">
        <f>VLOOKUP(A49,[3]cortex!$A:$A,1,FALSE)</f>
        <v>#N/A</v>
      </c>
      <c r="F49" t="e">
        <f>VLOOKUP(A49,[4]liver!$A:$A,1,FALSE)</f>
        <v>#N/A</v>
      </c>
      <c r="H49">
        <f t="shared" si="0"/>
        <v>1</v>
      </c>
    </row>
    <row r="50" spans="1:8" x14ac:dyDescent="0.2">
      <c r="A50" s="1" t="s">
        <v>373</v>
      </c>
      <c r="B50" t="e">
        <f>VLOOKUP(A50,'[1]Table S2'!$B$3:$B$509,1,FALSE)</f>
        <v>#N/A</v>
      </c>
      <c r="C50" t="str">
        <f>VLOOKUP(A50,'[1]Table S5'!$B$3:$B$641,1,FALSE)</f>
        <v>Mir9-3hg</v>
      </c>
      <c r="D50" t="e">
        <f>VLOOKUP(A50,[2]Sheet2!$A:$A,1,FALSE)</f>
        <v>#N/A</v>
      </c>
      <c r="E50" t="e">
        <f>VLOOKUP(A50,[3]cortex!$A:$A,1,FALSE)</f>
        <v>#N/A</v>
      </c>
      <c r="F50" t="e">
        <f>VLOOKUP(A50,[4]liver!$A:$A,1,FALSE)</f>
        <v>#N/A</v>
      </c>
      <c r="H50">
        <f t="shared" si="0"/>
        <v>1</v>
      </c>
    </row>
    <row r="51" spans="1:8" x14ac:dyDescent="0.2">
      <c r="A51" s="1" t="s">
        <v>383</v>
      </c>
      <c r="B51" t="str">
        <f>VLOOKUP(A51,'[1]Table S2'!$B$3:$B$509,1,FALSE)</f>
        <v>Mthfr</v>
      </c>
      <c r="C51" t="e">
        <f>VLOOKUP(A51,'[1]Table S5'!$B$3:$B$641,1,FALSE)</f>
        <v>#N/A</v>
      </c>
      <c r="D51" t="e">
        <f>VLOOKUP(A51,[2]Sheet2!$A:$A,1,FALSE)</f>
        <v>#N/A</v>
      </c>
      <c r="E51" t="e">
        <f>VLOOKUP(A51,[3]cortex!$A:$A,1,FALSE)</f>
        <v>#N/A</v>
      </c>
      <c r="F51" t="e">
        <f>VLOOKUP(A51,[4]liver!$A:$A,1,FALSE)</f>
        <v>#N/A</v>
      </c>
      <c r="H51">
        <f t="shared" si="0"/>
        <v>1</v>
      </c>
    </row>
    <row r="52" spans="1:8" x14ac:dyDescent="0.2">
      <c r="A52" s="1" t="s">
        <v>386</v>
      </c>
      <c r="B52" t="e">
        <f>VLOOKUP(A52,'[1]Table S2'!$B$3:$B$509,1,FALSE)</f>
        <v>#N/A</v>
      </c>
      <c r="C52" t="str">
        <f>VLOOKUP(A52,'[1]Table S5'!$B$3:$B$641,1,FALSE)</f>
        <v>Myo16</v>
      </c>
      <c r="D52" t="e">
        <f>VLOOKUP(A52,[2]Sheet2!$A:$A,1,FALSE)</f>
        <v>#N/A</v>
      </c>
      <c r="E52" t="e">
        <f>VLOOKUP(A52,[3]cortex!$A:$A,1,FALSE)</f>
        <v>#N/A</v>
      </c>
      <c r="F52" t="e">
        <f>VLOOKUP(A52,[4]liver!$A:$A,1,FALSE)</f>
        <v>#N/A</v>
      </c>
      <c r="H52">
        <f t="shared" si="0"/>
        <v>1</v>
      </c>
    </row>
    <row r="53" spans="1:8" x14ac:dyDescent="0.2">
      <c r="A53" s="1" t="s">
        <v>418</v>
      </c>
      <c r="B53" t="e">
        <f>VLOOKUP(A53,'[1]Table S2'!$B$3:$B$509,1,FALSE)</f>
        <v>#N/A</v>
      </c>
      <c r="C53" t="str">
        <f>VLOOKUP(A53,'[1]Table S5'!$B$3:$B$641,1,FALSE)</f>
        <v>Nln</v>
      </c>
      <c r="D53" t="e">
        <f>VLOOKUP(A53,[2]Sheet2!$A:$A,1,FALSE)</f>
        <v>#N/A</v>
      </c>
      <c r="E53" t="e">
        <f>VLOOKUP(A53,[3]cortex!$A:$A,1,FALSE)</f>
        <v>#N/A</v>
      </c>
      <c r="F53" t="e">
        <f>VLOOKUP(A53,[4]liver!$A:$A,1,FALSE)</f>
        <v>#N/A</v>
      </c>
      <c r="H53">
        <f t="shared" si="0"/>
        <v>1</v>
      </c>
    </row>
    <row r="54" spans="1:8" x14ac:dyDescent="0.2">
      <c r="A54" s="1" t="s">
        <v>421</v>
      </c>
      <c r="B54" t="e">
        <f>VLOOKUP(A54,'[1]Table S2'!$B$3:$B$509,1,FALSE)</f>
        <v>#N/A</v>
      </c>
      <c r="C54" t="e">
        <f>VLOOKUP(A54,'[1]Table S5'!$B$3:$B$641,1,FALSE)</f>
        <v>#N/A</v>
      </c>
      <c r="D54" t="e">
        <f>VLOOKUP(A54,[2]Sheet2!$A:$A,1,FALSE)</f>
        <v>#N/A</v>
      </c>
      <c r="E54" t="str">
        <f>VLOOKUP(A54,[3]cortex!$A:$A,1,FALSE)</f>
        <v>Npas4</v>
      </c>
      <c r="F54" t="e">
        <f>VLOOKUP(A54,[4]liver!$A:$A,1,FALSE)</f>
        <v>#N/A</v>
      </c>
      <c r="H54">
        <f t="shared" si="0"/>
        <v>1</v>
      </c>
    </row>
    <row r="55" spans="1:8" x14ac:dyDescent="0.2">
      <c r="A55" s="1" t="s">
        <v>422</v>
      </c>
      <c r="B55" t="e">
        <f>VLOOKUP(A55,'[1]Table S2'!$B$3:$B$509,1,FALSE)</f>
        <v>#N/A</v>
      </c>
      <c r="C55" t="str">
        <f>VLOOKUP(A55,'[1]Table S5'!$B$3:$B$641,1,FALSE)</f>
        <v>Nploc4</v>
      </c>
      <c r="D55" t="e">
        <f>VLOOKUP(A55,[2]Sheet2!$A:$A,1,FALSE)</f>
        <v>#N/A</v>
      </c>
      <c r="E55" t="e">
        <f>VLOOKUP(A55,[3]cortex!$A:$A,1,FALSE)</f>
        <v>#N/A</v>
      </c>
      <c r="F55" t="e">
        <f>VLOOKUP(A55,[4]liver!$A:$A,1,FALSE)</f>
        <v>#N/A</v>
      </c>
      <c r="H55">
        <f t="shared" si="0"/>
        <v>1</v>
      </c>
    </row>
    <row r="56" spans="1:8" x14ac:dyDescent="0.2">
      <c r="A56" s="1" t="s">
        <v>432</v>
      </c>
      <c r="B56" t="e">
        <f>VLOOKUP(A56,'[1]Table S2'!$B$3:$B$509,1,FALSE)</f>
        <v>#N/A</v>
      </c>
      <c r="C56" t="str">
        <f>VLOOKUP(A56,'[1]Table S5'!$B$3:$B$641,1,FALSE)</f>
        <v>Ntng2</v>
      </c>
      <c r="D56" t="e">
        <f>VLOOKUP(A56,[2]Sheet2!$A:$A,1,FALSE)</f>
        <v>#N/A</v>
      </c>
      <c r="E56" t="e">
        <f>VLOOKUP(A56,[3]cortex!$A:$A,1,FALSE)</f>
        <v>#N/A</v>
      </c>
      <c r="F56" t="e">
        <f>VLOOKUP(A56,[4]liver!$A:$A,1,FALSE)</f>
        <v>#N/A</v>
      </c>
      <c r="H56">
        <f t="shared" si="0"/>
        <v>1</v>
      </c>
    </row>
    <row r="57" spans="1:8" x14ac:dyDescent="0.2">
      <c r="A57" s="1" t="s">
        <v>441</v>
      </c>
      <c r="B57" t="str">
        <f>VLOOKUP(A57,'[1]Table S2'!$B$3:$B$509,1,FALSE)</f>
        <v>P4ha1</v>
      </c>
      <c r="C57" t="e">
        <f>VLOOKUP(A57,'[1]Table S5'!$B$3:$B$641,1,FALSE)</f>
        <v>#N/A</v>
      </c>
      <c r="D57" t="e">
        <f>VLOOKUP(A57,[2]Sheet2!$A:$A,1,FALSE)</f>
        <v>#N/A</v>
      </c>
      <c r="E57" t="e">
        <f>VLOOKUP(A57,[3]cortex!$A:$A,1,FALSE)</f>
        <v>#N/A</v>
      </c>
      <c r="F57" t="e">
        <f>VLOOKUP(A57,[4]liver!$A:$A,1,FALSE)</f>
        <v>#N/A</v>
      </c>
      <c r="H57">
        <f t="shared" si="0"/>
        <v>1</v>
      </c>
    </row>
    <row r="58" spans="1:8" x14ac:dyDescent="0.2">
      <c r="A58" s="1" t="s">
        <v>456</v>
      </c>
      <c r="B58" t="str">
        <f>VLOOKUP(A58,'[1]Table S2'!$B$3:$B$509,1,FALSE)</f>
        <v>Pdp1</v>
      </c>
      <c r="C58" t="e">
        <f>VLOOKUP(A58,'[1]Table S5'!$B$3:$B$641,1,FALSE)</f>
        <v>#N/A</v>
      </c>
      <c r="D58" t="e">
        <f>VLOOKUP(A58,[2]Sheet2!$A:$A,1,FALSE)</f>
        <v>#N/A</v>
      </c>
      <c r="E58" t="e">
        <f>VLOOKUP(A58,[3]cortex!$A:$A,1,FALSE)</f>
        <v>#N/A</v>
      </c>
      <c r="F58" t="e">
        <f>VLOOKUP(A58,[4]liver!$A:$A,1,FALSE)</f>
        <v>#N/A</v>
      </c>
      <c r="H58">
        <f t="shared" si="0"/>
        <v>1</v>
      </c>
    </row>
    <row r="59" spans="1:8" x14ac:dyDescent="0.2">
      <c r="A59" s="1" t="s">
        <v>460</v>
      </c>
      <c r="B59" t="str">
        <f>VLOOKUP(A59,'[1]Table S2'!$B$3:$B$509,1,FALSE)</f>
        <v>Pfdn5</v>
      </c>
      <c r="C59" t="e">
        <f>VLOOKUP(A59,'[1]Table S5'!$B$3:$B$641,1,FALSE)</f>
        <v>#N/A</v>
      </c>
      <c r="D59" t="e">
        <f>VLOOKUP(A59,[2]Sheet2!$A:$A,1,FALSE)</f>
        <v>#N/A</v>
      </c>
      <c r="E59" t="e">
        <f>VLOOKUP(A59,[3]cortex!$A:$A,1,FALSE)</f>
        <v>#N/A</v>
      </c>
      <c r="F59" t="e">
        <f>VLOOKUP(A59,[4]liver!$A:$A,1,FALSE)</f>
        <v>#N/A</v>
      </c>
      <c r="H59">
        <f t="shared" si="0"/>
        <v>1</v>
      </c>
    </row>
    <row r="60" spans="1:8" x14ac:dyDescent="0.2">
      <c r="A60" s="1" t="s">
        <v>472</v>
      </c>
      <c r="B60" t="e">
        <f>VLOOKUP(A60,'[1]Table S2'!$B$3:$B$509,1,FALSE)</f>
        <v>#N/A</v>
      </c>
      <c r="C60" t="str">
        <f>VLOOKUP(A60,'[1]Table S5'!$B$3:$B$641,1,FALSE)</f>
        <v>Plec</v>
      </c>
      <c r="D60" t="e">
        <f>VLOOKUP(A60,[2]Sheet2!$A:$A,1,FALSE)</f>
        <v>#N/A</v>
      </c>
      <c r="E60" t="e">
        <f>VLOOKUP(A60,[3]cortex!$A:$A,1,FALSE)</f>
        <v>#N/A</v>
      </c>
      <c r="F60" t="e">
        <f>VLOOKUP(A60,[4]liver!$A:$A,1,FALSE)</f>
        <v>#N/A</v>
      </c>
      <c r="H60">
        <f t="shared" si="0"/>
        <v>1</v>
      </c>
    </row>
    <row r="61" spans="1:8" x14ac:dyDescent="0.2">
      <c r="A61" s="1" t="s">
        <v>475</v>
      </c>
      <c r="B61" t="e">
        <f>VLOOKUP(A61,'[1]Table S2'!$B$3:$B$509,1,FALSE)</f>
        <v>#N/A</v>
      </c>
      <c r="C61" t="str">
        <f>VLOOKUP(A61,'[1]Table S5'!$B$3:$B$641,1,FALSE)</f>
        <v>Plekhg5</v>
      </c>
      <c r="D61" t="e">
        <f>VLOOKUP(A61,[2]Sheet2!$A:$A,1,FALSE)</f>
        <v>#N/A</v>
      </c>
      <c r="E61" t="e">
        <f>VLOOKUP(A61,[3]cortex!$A:$A,1,FALSE)</f>
        <v>#N/A</v>
      </c>
      <c r="F61" t="e">
        <f>VLOOKUP(A61,[4]liver!$A:$A,1,FALSE)</f>
        <v>#N/A</v>
      </c>
      <c r="H61">
        <f t="shared" si="0"/>
        <v>1</v>
      </c>
    </row>
    <row r="62" spans="1:8" x14ac:dyDescent="0.2">
      <c r="A62" s="1" t="s">
        <v>478</v>
      </c>
      <c r="B62" t="e">
        <f>VLOOKUP(A62,'[1]Table S2'!$B$3:$B$509,1,FALSE)</f>
        <v>#N/A</v>
      </c>
      <c r="C62" t="e">
        <f>VLOOKUP(A62,'[1]Table S5'!$B$3:$B$641,1,FALSE)</f>
        <v>#N/A</v>
      </c>
      <c r="D62" t="e">
        <f>VLOOKUP(A62,[2]Sheet2!$A:$A,1,FALSE)</f>
        <v>#N/A</v>
      </c>
      <c r="E62" t="e">
        <f>VLOOKUP(A62,[3]cortex!$A:$A,1,FALSE)</f>
        <v>#N/A</v>
      </c>
      <c r="F62" t="str">
        <f>VLOOKUP(A62,[4]liver!$A:$A,1,FALSE)</f>
        <v>Pnpla3</v>
      </c>
      <c r="H62">
        <f t="shared" si="0"/>
        <v>1</v>
      </c>
    </row>
    <row r="63" spans="1:8" x14ac:dyDescent="0.2">
      <c r="A63" s="1" t="s">
        <v>487</v>
      </c>
      <c r="B63" t="e">
        <f>VLOOKUP(A63,'[1]Table S2'!$B$3:$B$509,1,FALSE)</f>
        <v>#N/A</v>
      </c>
      <c r="C63" t="str">
        <f>VLOOKUP(A63,'[1]Table S5'!$B$3:$B$641,1,FALSE)</f>
        <v>Ppp1r1a</v>
      </c>
      <c r="D63" t="e">
        <f>VLOOKUP(A63,[2]Sheet2!$A:$A,1,FALSE)</f>
        <v>#N/A</v>
      </c>
      <c r="E63" t="e">
        <f>VLOOKUP(A63,[3]cortex!$A:$A,1,FALSE)</f>
        <v>#N/A</v>
      </c>
      <c r="F63" t="e">
        <f>VLOOKUP(A63,[4]liver!$A:$A,1,FALSE)</f>
        <v>#N/A</v>
      </c>
      <c r="H63">
        <f t="shared" si="0"/>
        <v>1</v>
      </c>
    </row>
    <row r="64" spans="1:8" x14ac:dyDescent="0.2">
      <c r="A64" s="1" t="s">
        <v>495</v>
      </c>
      <c r="B64" t="str">
        <f>VLOOKUP(A64,'[1]Table S2'!$B$3:$B$509,1,FALSE)</f>
        <v>Prpf4b</v>
      </c>
      <c r="C64" t="e">
        <f>VLOOKUP(A64,'[1]Table S5'!$B$3:$B$641,1,FALSE)</f>
        <v>#N/A</v>
      </c>
      <c r="D64" t="e">
        <f>VLOOKUP(A64,[2]Sheet2!$A:$A,1,FALSE)</f>
        <v>#N/A</v>
      </c>
      <c r="E64" t="e">
        <f>VLOOKUP(A64,[3]cortex!$A:$A,1,FALSE)</f>
        <v>#N/A</v>
      </c>
      <c r="F64" t="e">
        <f>VLOOKUP(A64,[4]liver!$A:$A,1,FALSE)</f>
        <v>#N/A</v>
      </c>
      <c r="H64">
        <f t="shared" si="0"/>
        <v>1</v>
      </c>
    </row>
    <row r="65" spans="1:8" x14ac:dyDescent="0.2">
      <c r="A65" s="1" t="s">
        <v>517</v>
      </c>
      <c r="B65" t="e">
        <f>VLOOKUP(A65,'[1]Table S2'!$B$3:$B$509,1,FALSE)</f>
        <v>#N/A</v>
      </c>
      <c r="C65" t="e">
        <f>VLOOKUP(A65,'[1]Table S5'!$B$3:$B$641,1,FALSE)</f>
        <v>#N/A</v>
      </c>
      <c r="D65" t="str">
        <f>VLOOKUP(A65,[2]Sheet2!$A:$A,1,FALSE)</f>
        <v>Rassf3</v>
      </c>
      <c r="E65" t="e">
        <f>VLOOKUP(A65,[3]cortex!$A:$A,1,FALSE)</f>
        <v>#N/A</v>
      </c>
      <c r="F65" t="e">
        <f>VLOOKUP(A65,[4]liver!$A:$A,1,FALSE)</f>
        <v>#N/A</v>
      </c>
      <c r="H65">
        <f t="shared" si="0"/>
        <v>1</v>
      </c>
    </row>
    <row r="66" spans="1:8" x14ac:dyDescent="0.2">
      <c r="A66" s="1" t="s">
        <v>565</v>
      </c>
      <c r="B66" t="e">
        <f>VLOOKUP(A66,'[1]Table S2'!$B$3:$B$509,1,FALSE)</f>
        <v>#N/A</v>
      </c>
      <c r="C66" t="e">
        <f>VLOOKUP(A66,'[1]Table S5'!$B$3:$B$641,1,FALSE)</f>
        <v>#N/A</v>
      </c>
      <c r="D66" t="e">
        <f>VLOOKUP(A66,[2]Sheet2!$A:$A,1,FALSE)</f>
        <v>#N/A</v>
      </c>
      <c r="E66" t="e">
        <f>VLOOKUP(A66,[3]cortex!$A:$A,1,FALSE)</f>
        <v>#N/A</v>
      </c>
      <c r="F66" t="str">
        <f>VLOOKUP(A66,[4]liver!$A:$A,1,FALSE)</f>
        <v>Rps6kl1</v>
      </c>
      <c r="H66">
        <f t="shared" ref="H66:H129" si="1">COUNTIF(B66:G66,A66)</f>
        <v>1</v>
      </c>
    </row>
    <row r="67" spans="1:8" x14ac:dyDescent="0.2">
      <c r="A67" s="1" t="s">
        <v>601</v>
      </c>
      <c r="B67" t="e">
        <f>VLOOKUP(A67,'[1]Table S2'!$B$3:$B$509,1,FALSE)</f>
        <v>#N/A</v>
      </c>
      <c r="C67" t="str">
        <f>VLOOKUP(A67,'[1]Table S5'!$B$3:$B$641,1,FALSE)</f>
        <v>Slco2a1</v>
      </c>
      <c r="D67" t="e">
        <f>VLOOKUP(A67,[2]Sheet2!$A:$A,1,FALSE)</f>
        <v>#N/A</v>
      </c>
      <c r="E67" t="e">
        <f>VLOOKUP(A67,[3]cortex!$A:$A,1,FALSE)</f>
        <v>#N/A</v>
      </c>
      <c r="F67" t="e">
        <f>VLOOKUP(A67,[4]liver!$A:$A,1,FALSE)</f>
        <v>#N/A</v>
      </c>
      <c r="H67">
        <f t="shared" si="1"/>
        <v>1</v>
      </c>
    </row>
    <row r="68" spans="1:8" x14ac:dyDescent="0.2">
      <c r="A68" s="1" t="s">
        <v>602</v>
      </c>
      <c r="B68" t="e">
        <f>VLOOKUP(A68,'[1]Table S2'!$B$3:$B$509,1,FALSE)</f>
        <v>#N/A</v>
      </c>
      <c r="C68" t="str">
        <f>VLOOKUP(A68,'[1]Table S5'!$B$3:$B$641,1,FALSE)</f>
        <v>Slit2</v>
      </c>
      <c r="D68" t="e">
        <f>VLOOKUP(A68,[2]Sheet2!$A:$A,1,FALSE)</f>
        <v>#N/A</v>
      </c>
      <c r="E68" t="e">
        <f>VLOOKUP(A68,[3]cortex!$A:$A,1,FALSE)</f>
        <v>#N/A</v>
      </c>
      <c r="F68" t="e">
        <f>VLOOKUP(A68,[4]liver!$A:$A,1,FALSE)</f>
        <v>#N/A</v>
      </c>
      <c r="H68">
        <f t="shared" si="1"/>
        <v>1</v>
      </c>
    </row>
    <row r="69" spans="1:8" x14ac:dyDescent="0.2">
      <c r="A69" s="1" t="s">
        <v>603</v>
      </c>
      <c r="B69" t="e">
        <f>VLOOKUP(A69,'[1]Table S2'!$B$3:$B$509,1,FALSE)</f>
        <v>#N/A</v>
      </c>
      <c r="C69" t="str">
        <f>VLOOKUP(A69,'[1]Table S5'!$B$3:$B$641,1,FALSE)</f>
        <v>Slitrk5</v>
      </c>
      <c r="D69" t="e">
        <f>VLOOKUP(A69,[2]Sheet2!$A:$A,1,FALSE)</f>
        <v>#N/A</v>
      </c>
      <c r="E69" t="e">
        <f>VLOOKUP(A69,[3]cortex!$A:$A,1,FALSE)</f>
        <v>#N/A</v>
      </c>
      <c r="F69" t="e">
        <f>VLOOKUP(A69,[4]liver!$A:$A,1,FALSE)</f>
        <v>#N/A</v>
      </c>
      <c r="H69">
        <f t="shared" si="1"/>
        <v>1</v>
      </c>
    </row>
    <row r="70" spans="1:8" x14ac:dyDescent="0.2">
      <c r="A70" s="1" t="s">
        <v>607</v>
      </c>
      <c r="B70" t="e">
        <f>VLOOKUP(A70,'[1]Table S2'!$B$3:$B$509,1,FALSE)</f>
        <v>#N/A</v>
      </c>
      <c r="C70" t="e">
        <f>VLOOKUP(A70,'[1]Table S5'!$B$3:$B$641,1,FALSE)</f>
        <v>#N/A</v>
      </c>
      <c r="D70" t="e">
        <f>VLOOKUP(A70,[2]Sheet2!$A:$A,1,FALSE)</f>
        <v>#N/A</v>
      </c>
      <c r="E70" t="e">
        <f>VLOOKUP(A70,[3]cortex!$A:$A,1,FALSE)</f>
        <v>#N/A</v>
      </c>
      <c r="F70" t="str">
        <f>VLOOKUP(A70,[4]liver!$A:$A,1,FALSE)</f>
        <v>Snhg11</v>
      </c>
      <c r="H70">
        <f t="shared" si="1"/>
        <v>1</v>
      </c>
    </row>
    <row r="71" spans="1:8" x14ac:dyDescent="0.2">
      <c r="A71" s="1" t="s">
        <v>618</v>
      </c>
      <c r="B71" t="str">
        <f>VLOOKUP(A71,'[1]Table S2'!$B$3:$B$509,1,FALSE)</f>
        <v>Srsf7</v>
      </c>
      <c r="C71" t="e">
        <f>VLOOKUP(A71,'[1]Table S5'!$B$3:$B$641,1,FALSE)</f>
        <v>#N/A</v>
      </c>
      <c r="D71" t="e">
        <f>VLOOKUP(A71,[2]Sheet2!$A:$A,1,FALSE)</f>
        <v>#N/A</v>
      </c>
      <c r="E71" t="e">
        <f>VLOOKUP(A71,[3]cortex!$A:$A,1,FALSE)</f>
        <v>#N/A</v>
      </c>
      <c r="F71" t="e">
        <f>VLOOKUP(A71,[4]liver!$A:$A,1,FALSE)</f>
        <v>#N/A</v>
      </c>
      <c r="H71">
        <f t="shared" si="1"/>
        <v>1</v>
      </c>
    </row>
    <row r="72" spans="1:8" x14ac:dyDescent="0.2">
      <c r="A72" s="1" t="s">
        <v>636</v>
      </c>
      <c r="B72" t="e">
        <f>VLOOKUP(A72,'[1]Table S2'!$B$3:$B$509,1,FALSE)</f>
        <v>#N/A</v>
      </c>
      <c r="C72" t="str">
        <f>VLOOKUP(A72,'[1]Table S5'!$B$3:$B$641,1,FALSE)</f>
        <v>Tmem132b</v>
      </c>
      <c r="D72" t="e">
        <f>VLOOKUP(A72,[2]Sheet2!$A:$A,1,FALSE)</f>
        <v>#N/A</v>
      </c>
      <c r="E72" t="e">
        <f>VLOOKUP(A72,[3]cortex!$A:$A,1,FALSE)</f>
        <v>#N/A</v>
      </c>
      <c r="F72" t="e">
        <f>VLOOKUP(A72,[4]liver!$A:$A,1,FALSE)</f>
        <v>#N/A</v>
      </c>
      <c r="H72">
        <f t="shared" si="1"/>
        <v>1</v>
      </c>
    </row>
    <row r="73" spans="1:8" x14ac:dyDescent="0.2">
      <c r="A73" s="1" t="s">
        <v>642</v>
      </c>
      <c r="B73" t="e">
        <f>VLOOKUP(A73,'[1]Table S2'!$B$3:$B$509,1,FALSE)</f>
        <v>#N/A</v>
      </c>
      <c r="C73" t="str">
        <f>VLOOKUP(A73,'[1]Table S5'!$B$3:$B$641,1,FALSE)</f>
        <v>Tmod1</v>
      </c>
      <c r="D73" t="e">
        <f>VLOOKUP(A73,[2]Sheet2!$A:$A,1,FALSE)</f>
        <v>#N/A</v>
      </c>
      <c r="E73" t="e">
        <f>VLOOKUP(A73,[3]cortex!$A:$A,1,FALSE)</f>
        <v>#N/A</v>
      </c>
      <c r="F73" t="e">
        <f>VLOOKUP(A73,[4]liver!$A:$A,1,FALSE)</f>
        <v>#N/A</v>
      </c>
      <c r="H73">
        <f t="shared" si="1"/>
        <v>1</v>
      </c>
    </row>
    <row r="74" spans="1:8" x14ac:dyDescent="0.2">
      <c r="A74" s="1" t="s">
        <v>656</v>
      </c>
      <c r="B74" t="e">
        <f>VLOOKUP(A74,'[1]Table S2'!$B$3:$B$509,1,FALSE)</f>
        <v>#N/A</v>
      </c>
      <c r="C74" t="str">
        <f>VLOOKUP(A74,'[1]Table S5'!$B$3:$B$641,1,FALSE)</f>
        <v>Trpm4</v>
      </c>
      <c r="D74" t="e">
        <f>VLOOKUP(A74,[2]Sheet2!$A:$A,1,FALSE)</f>
        <v>#N/A</v>
      </c>
      <c r="E74" t="e">
        <f>VLOOKUP(A74,[3]cortex!$A:$A,1,FALSE)</f>
        <v>#N/A</v>
      </c>
      <c r="F74" t="e">
        <f>VLOOKUP(A74,[4]liver!$A:$A,1,FALSE)</f>
        <v>#N/A</v>
      </c>
      <c r="H74">
        <f t="shared" si="1"/>
        <v>1</v>
      </c>
    </row>
    <row r="75" spans="1:8" x14ac:dyDescent="0.2">
      <c r="A75" s="1" t="s">
        <v>693</v>
      </c>
      <c r="B75" t="e">
        <f>VLOOKUP(A75,'[1]Table S2'!$B$3:$B$509,1,FALSE)</f>
        <v>#N/A</v>
      </c>
      <c r="C75" t="e">
        <f>VLOOKUP(A75,'[1]Table S5'!$B$3:$B$641,1,FALSE)</f>
        <v>#N/A</v>
      </c>
      <c r="D75" t="e">
        <f>VLOOKUP(A75,[2]Sheet2!$A:$A,1,FALSE)</f>
        <v>#N/A</v>
      </c>
      <c r="E75" t="e">
        <f>VLOOKUP(A75,[3]cortex!$A:$A,1,FALSE)</f>
        <v>#N/A</v>
      </c>
      <c r="F75" t="str">
        <f>VLOOKUP(A75,[4]liver!$A:$A,1,FALSE)</f>
        <v>Zbtb16</v>
      </c>
      <c r="H75">
        <f t="shared" si="1"/>
        <v>1</v>
      </c>
    </row>
    <row r="76" spans="1:8" x14ac:dyDescent="0.2">
      <c r="A76" s="1" t="s">
        <v>719</v>
      </c>
      <c r="B76" t="e">
        <f>VLOOKUP(A76,'[1]Table S2'!$B$3:$B$509,1,FALSE)</f>
        <v>#N/A</v>
      </c>
      <c r="C76" t="str">
        <f>VLOOKUP(A76,'[1]Table S5'!$B$3:$B$641,1,FALSE)</f>
        <v>Scd2</v>
      </c>
      <c r="D76" t="e">
        <f>VLOOKUP(A76,[2]Sheet2!$A:$A,1,FALSE)</f>
        <v>#N/A</v>
      </c>
      <c r="E76" t="e">
        <f>VLOOKUP(A76,[3]cortex!$A:$A,1,FALSE)</f>
        <v>#N/A</v>
      </c>
      <c r="F76" t="e">
        <f>VLOOKUP(A76,[4]liver!$A:$A,1,FALSE)</f>
        <v>#N/A</v>
      </c>
      <c r="H76">
        <f t="shared" si="1"/>
        <v>1</v>
      </c>
    </row>
    <row r="77" spans="1:8" x14ac:dyDescent="0.2">
      <c r="A77" s="1" t="s">
        <v>720</v>
      </c>
      <c r="B77" t="e">
        <f>VLOOKUP(A77,'[1]Table S2'!$B$3:$B$509,1,FALSE)</f>
        <v>#N/A</v>
      </c>
      <c r="C77" t="str">
        <f>VLOOKUP(A77,'[1]Table S5'!$B$3:$B$641,1,FALSE)</f>
        <v>Tmeff2</v>
      </c>
      <c r="D77" t="e">
        <f>VLOOKUP(A77,[2]Sheet2!$A:$A,1,FALSE)</f>
        <v>#N/A</v>
      </c>
      <c r="E77" t="e">
        <f>VLOOKUP(A77,[3]cortex!$A:$A,1,FALSE)</f>
        <v>#N/A</v>
      </c>
      <c r="F77" t="e">
        <f>VLOOKUP(A77,[4]liver!$A:$A,1,FALSE)</f>
        <v>#N/A</v>
      </c>
      <c r="H77">
        <f t="shared" si="1"/>
        <v>1</v>
      </c>
    </row>
    <row r="78" spans="1:8" x14ac:dyDescent="0.2">
      <c r="A78" s="1" t="s">
        <v>0</v>
      </c>
      <c r="B78" t="e">
        <f>VLOOKUP(A78,'[1]Table S2'!$B$3:$B$509,1,FALSE)</f>
        <v>#N/A</v>
      </c>
      <c r="C78" t="e">
        <f>VLOOKUP(A78,'[1]Table S5'!$B$3:$B$641,1,FALSE)</f>
        <v>#N/A</v>
      </c>
      <c r="D78" t="e">
        <f>VLOOKUP(A78,[2]Sheet2!$A:$A,1,FALSE)</f>
        <v>#N/A</v>
      </c>
      <c r="E78" t="e">
        <f>VLOOKUP(A78,[3]cortex!$A:$A,1,FALSE)</f>
        <v>#N/A</v>
      </c>
      <c r="F78" t="e">
        <f>VLOOKUP(A78,[4]liver!$A:$A,1,FALSE)</f>
        <v>#N/A</v>
      </c>
      <c r="H78">
        <f t="shared" si="1"/>
        <v>0</v>
      </c>
    </row>
    <row r="79" spans="1:8" x14ac:dyDescent="0.2">
      <c r="A79" s="1" t="s">
        <v>1</v>
      </c>
      <c r="B79" t="e">
        <f>VLOOKUP(A79,'[1]Table S2'!$B$3:$B$509,1,FALSE)</f>
        <v>#N/A</v>
      </c>
      <c r="C79" t="e">
        <f>VLOOKUP(A79,'[1]Table S5'!$B$3:$B$641,1,FALSE)</f>
        <v>#N/A</v>
      </c>
      <c r="D79" t="e">
        <f>VLOOKUP(A79,[2]Sheet2!$A:$A,1,FALSE)</f>
        <v>#N/A</v>
      </c>
      <c r="E79" t="e">
        <f>VLOOKUP(A79,[3]cortex!$A:$A,1,FALSE)</f>
        <v>#N/A</v>
      </c>
      <c r="F79" t="e">
        <f>VLOOKUP(A79,[4]liver!$A:$A,1,FALSE)</f>
        <v>#N/A</v>
      </c>
      <c r="H79">
        <f t="shared" si="1"/>
        <v>0</v>
      </c>
    </row>
    <row r="80" spans="1:8" x14ac:dyDescent="0.2">
      <c r="A80" s="1" t="s">
        <v>2</v>
      </c>
      <c r="B80" t="e">
        <f>VLOOKUP(A80,'[1]Table S2'!$B$3:$B$509,1,FALSE)</f>
        <v>#N/A</v>
      </c>
      <c r="C80" t="e">
        <f>VLOOKUP(A80,'[1]Table S5'!$B$3:$B$641,1,FALSE)</f>
        <v>#N/A</v>
      </c>
      <c r="D80" t="e">
        <f>VLOOKUP(A80,[2]Sheet2!$A:$A,1,FALSE)</f>
        <v>#N/A</v>
      </c>
      <c r="E80" t="e">
        <f>VLOOKUP(A80,[3]cortex!$A:$A,1,FALSE)</f>
        <v>#N/A</v>
      </c>
      <c r="F80" t="e">
        <f>VLOOKUP(A80,[4]liver!$A:$A,1,FALSE)</f>
        <v>#N/A</v>
      </c>
      <c r="H80">
        <f t="shared" si="1"/>
        <v>0</v>
      </c>
    </row>
    <row r="81" spans="1:8" x14ac:dyDescent="0.2">
      <c r="A81" s="1" t="s">
        <v>3</v>
      </c>
      <c r="B81" t="e">
        <f>VLOOKUP(A81,'[1]Table S2'!$B$3:$B$509,1,FALSE)</f>
        <v>#N/A</v>
      </c>
      <c r="C81" t="e">
        <f>VLOOKUP(A81,'[1]Table S5'!$B$3:$B$641,1,FALSE)</f>
        <v>#N/A</v>
      </c>
      <c r="D81" t="e">
        <f>VLOOKUP(A81,[2]Sheet2!$A:$A,1,FALSE)</f>
        <v>#N/A</v>
      </c>
      <c r="E81" t="e">
        <f>VLOOKUP(A81,[3]cortex!$A:$A,1,FALSE)</f>
        <v>#N/A</v>
      </c>
      <c r="F81" t="e">
        <f>VLOOKUP(A81,[4]liver!$A:$A,1,FALSE)</f>
        <v>#N/A</v>
      </c>
      <c r="H81">
        <f t="shared" si="1"/>
        <v>0</v>
      </c>
    </row>
    <row r="82" spans="1:8" x14ac:dyDescent="0.2">
      <c r="A82" s="1" t="s">
        <v>4</v>
      </c>
      <c r="B82" t="e">
        <f>VLOOKUP(A82,'[1]Table S2'!$B$3:$B$509,1,FALSE)</f>
        <v>#N/A</v>
      </c>
      <c r="C82" t="e">
        <f>VLOOKUP(A82,'[1]Table S5'!$B$3:$B$641,1,FALSE)</f>
        <v>#N/A</v>
      </c>
      <c r="D82" t="e">
        <f>VLOOKUP(A82,[2]Sheet2!$A:$A,1,FALSE)</f>
        <v>#N/A</v>
      </c>
      <c r="E82" t="e">
        <f>VLOOKUP(A82,[3]cortex!$A:$A,1,FALSE)</f>
        <v>#N/A</v>
      </c>
      <c r="F82" t="e">
        <f>VLOOKUP(A82,[4]liver!$A:$A,1,FALSE)</f>
        <v>#N/A</v>
      </c>
      <c r="H82">
        <f t="shared" si="1"/>
        <v>0</v>
      </c>
    </row>
    <row r="83" spans="1:8" x14ac:dyDescent="0.2">
      <c r="A83" s="1" t="s">
        <v>5</v>
      </c>
      <c r="B83" t="e">
        <f>VLOOKUP(A83,'[1]Table S2'!$B$3:$B$509,1,FALSE)</f>
        <v>#N/A</v>
      </c>
      <c r="C83" t="e">
        <f>VLOOKUP(A83,'[1]Table S5'!$B$3:$B$641,1,FALSE)</f>
        <v>#N/A</v>
      </c>
      <c r="D83" t="e">
        <f>VLOOKUP(A83,[2]Sheet2!$A:$A,1,FALSE)</f>
        <v>#N/A</v>
      </c>
      <c r="E83" t="e">
        <f>VLOOKUP(A83,[3]cortex!$A:$A,1,FALSE)</f>
        <v>#N/A</v>
      </c>
      <c r="F83" t="e">
        <f>VLOOKUP(A83,[4]liver!$A:$A,1,FALSE)</f>
        <v>#N/A</v>
      </c>
      <c r="H83">
        <f t="shared" si="1"/>
        <v>0</v>
      </c>
    </row>
    <row r="84" spans="1:8" x14ac:dyDescent="0.2">
      <c r="A84" s="1" t="s">
        <v>6</v>
      </c>
      <c r="B84" t="e">
        <f>VLOOKUP(A84,'[1]Table S2'!$B$3:$B$509,1,FALSE)</f>
        <v>#N/A</v>
      </c>
      <c r="C84" t="e">
        <f>VLOOKUP(A84,'[1]Table S5'!$B$3:$B$641,1,FALSE)</f>
        <v>#N/A</v>
      </c>
      <c r="D84" t="e">
        <f>VLOOKUP(A84,[2]Sheet2!$A:$A,1,FALSE)</f>
        <v>#N/A</v>
      </c>
      <c r="E84" t="e">
        <f>VLOOKUP(A84,[3]cortex!$A:$A,1,FALSE)</f>
        <v>#N/A</v>
      </c>
      <c r="F84" t="e">
        <f>VLOOKUP(A84,[4]liver!$A:$A,1,FALSE)</f>
        <v>#N/A</v>
      </c>
      <c r="H84">
        <f t="shared" si="1"/>
        <v>0</v>
      </c>
    </row>
    <row r="85" spans="1:8" x14ac:dyDescent="0.2">
      <c r="A85" s="1" t="s">
        <v>7</v>
      </c>
      <c r="B85" t="e">
        <f>VLOOKUP(A85,'[1]Table S2'!$B$3:$B$509,1,FALSE)</f>
        <v>#N/A</v>
      </c>
      <c r="C85" t="e">
        <f>VLOOKUP(A85,'[1]Table S5'!$B$3:$B$641,1,FALSE)</f>
        <v>#N/A</v>
      </c>
      <c r="D85" t="e">
        <f>VLOOKUP(A85,[2]Sheet2!$A:$A,1,FALSE)</f>
        <v>#N/A</v>
      </c>
      <c r="E85" t="e">
        <f>VLOOKUP(A85,[3]cortex!$A:$A,1,FALSE)</f>
        <v>#N/A</v>
      </c>
      <c r="F85" t="e">
        <f>VLOOKUP(A85,[4]liver!$A:$A,1,FALSE)</f>
        <v>#N/A</v>
      </c>
      <c r="H85">
        <f t="shared" si="1"/>
        <v>0</v>
      </c>
    </row>
    <row r="86" spans="1:8" x14ac:dyDescent="0.2">
      <c r="A86" s="1" t="s">
        <v>8</v>
      </c>
      <c r="B86" t="e">
        <f>VLOOKUP(A86,'[1]Table S2'!$B$3:$B$509,1,FALSE)</f>
        <v>#N/A</v>
      </c>
      <c r="C86" t="e">
        <f>VLOOKUP(A86,'[1]Table S5'!$B$3:$B$641,1,FALSE)</f>
        <v>#N/A</v>
      </c>
      <c r="D86" t="e">
        <f>VLOOKUP(A86,[2]Sheet2!$A:$A,1,FALSE)</f>
        <v>#N/A</v>
      </c>
      <c r="E86" t="e">
        <f>VLOOKUP(A86,[3]cortex!$A:$A,1,FALSE)</f>
        <v>#N/A</v>
      </c>
      <c r="F86" t="e">
        <f>VLOOKUP(A86,[4]liver!$A:$A,1,FALSE)</f>
        <v>#N/A</v>
      </c>
      <c r="H86">
        <f t="shared" si="1"/>
        <v>0</v>
      </c>
    </row>
    <row r="87" spans="1:8" x14ac:dyDescent="0.2">
      <c r="A87" s="1" t="s">
        <v>9</v>
      </c>
      <c r="B87" t="e">
        <f>VLOOKUP(A87,'[1]Table S2'!$B$3:$B$509,1,FALSE)</f>
        <v>#N/A</v>
      </c>
      <c r="C87" t="e">
        <f>VLOOKUP(A87,'[1]Table S5'!$B$3:$B$641,1,FALSE)</f>
        <v>#N/A</v>
      </c>
      <c r="D87" t="e">
        <f>VLOOKUP(A87,[2]Sheet2!$A:$A,1,FALSE)</f>
        <v>#N/A</v>
      </c>
      <c r="E87" t="e">
        <f>VLOOKUP(A87,[3]cortex!$A:$A,1,FALSE)</f>
        <v>#N/A</v>
      </c>
      <c r="F87" t="e">
        <f>VLOOKUP(A87,[4]liver!$A:$A,1,FALSE)</f>
        <v>#N/A</v>
      </c>
      <c r="H87">
        <f t="shared" si="1"/>
        <v>0</v>
      </c>
    </row>
    <row r="88" spans="1:8" x14ac:dyDescent="0.2">
      <c r="A88" s="1" t="s">
        <v>11</v>
      </c>
      <c r="B88" t="e">
        <f>VLOOKUP(A88,'[1]Table S2'!$B$3:$B$509,1,FALSE)</f>
        <v>#N/A</v>
      </c>
      <c r="C88" t="e">
        <f>VLOOKUP(A88,'[1]Table S5'!$B$3:$B$641,1,FALSE)</f>
        <v>#N/A</v>
      </c>
      <c r="D88" t="e">
        <f>VLOOKUP(A88,[2]Sheet2!$A:$A,1,FALSE)</f>
        <v>#N/A</v>
      </c>
      <c r="E88" t="e">
        <f>VLOOKUP(A88,[3]cortex!$A:$A,1,FALSE)</f>
        <v>#N/A</v>
      </c>
      <c r="F88" t="e">
        <f>VLOOKUP(A88,[4]liver!$A:$A,1,FALSE)</f>
        <v>#N/A</v>
      </c>
      <c r="H88">
        <f t="shared" si="1"/>
        <v>0</v>
      </c>
    </row>
    <row r="89" spans="1:8" x14ac:dyDescent="0.2">
      <c r="A89" s="1" t="s">
        <v>12</v>
      </c>
      <c r="B89" t="e">
        <f>VLOOKUP(A89,'[1]Table S2'!$B$3:$B$509,1,FALSE)</f>
        <v>#N/A</v>
      </c>
      <c r="C89" t="e">
        <f>VLOOKUP(A89,'[1]Table S5'!$B$3:$B$641,1,FALSE)</f>
        <v>#N/A</v>
      </c>
      <c r="D89" t="e">
        <f>VLOOKUP(A89,[2]Sheet2!$A:$A,1,FALSE)</f>
        <v>#N/A</v>
      </c>
      <c r="E89" t="e">
        <f>VLOOKUP(A89,[3]cortex!$A:$A,1,FALSE)</f>
        <v>#N/A</v>
      </c>
      <c r="F89" t="e">
        <f>VLOOKUP(A89,[4]liver!$A:$A,1,FALSE)</f>
        <v>#N/A</v>
      </c>
      <c r="H89">
        <f t="shared" si="1"/>
        <v>0</v>
      </c>
    </row>
    <row r="90" spans="1:8" x14ac:dyDescent="0.2">
      <c r="A90" s="1" t="s">
        <v>13</v>
      </c>
      <c r="B90" t="e">
        <f>VLOOKUP(A90,'[1]Table S2'!$B$3:$B$509,1,FALSE)</f>
        <v>#N/A</v>
      </c>
      <c r="C90" t="e">
        <f>VLOOKUP(A90,'[1]Table S5'!$B$3:$B$641,1,FALSE)</f>
        <v>#N/A</v>
      </c>
      <c r="D90" t="e">
        <f>VLOOKUP(A90,[2]Sheet2!$A:$A,1,FALSE)</f>
        <v>#N/A</v>
      </c>
      <c r="E90" t="e">
        <f>VLOOKUP(A90,[3]cortex!$A:$A,1,FALSE)</f>
        <v>#N/A</v>
      </c>
      <c r="F90" t="e">
        <f>VLOOKUP(A90,[4]liver!$A:$A,1,FALSE)</f>
        <v>#N/A</v>
      </c>
      <c r="H90">
        <f t="shared" si="1"/>
        <v>0</v>
      </c>
    </row>
    <row r="91" spans="1:8" x14ac:dyDescent="0.2">
      <c r="A91" s="1" t="s">
        <v>14</v>
      </c>
      <c r="B91" t="e">
        <f>VLOOKUP(A91,'[1]Table S2'!$B$3:$B$509,1,FALSE)</f>
        <v>#N/A</v>
      </c>
      <c r="C91" t="e">
        <f>VLOOKUP(A91,'[1]Table S5'!$B$3:$B$641,1,FALSE)</f>
        <v>#N/A</v>
      </c>
      <c r="D91" t="e">
        <f>VLOOKUP(A91,[2]Sheet2!$A:$A,1,FALSE)</f>
        <v>#N/A</v>
      </c>
      <c r="E91" t="e">
        <f>VLOOKUP(A91,[3]cortex!$A:$A,1,FALSE)</f>
        <v>#N/A</v>
      </c>
      <c r="F91" t="e">
        <f>VLOOKUP(A91,[4]liver!$A:$A,1,FALSE)</f>
        <v>#N/A</v>
      </c>
      <c r="H91">
        <f t="shared" si="1"/>
        <v>0</v>
      </c>
    </row>
    <row r="92" spans="1:8" x14ac:dyDescent="0.2">
      <c r="A92" s="1" t="s">
        <v>15</v>
      </c>
      <c r="B92" t="e">
        <f>VLOOKUP(A92,'[1]Table S2'!$B$3:$B$509,1,FALSE)</f>
        <v>#N/A</v>
      </c>
      <c r="C92" t="e">
        <f>VLOOKUP(A92,'[1]Table S5'!$B$3:$B$641,1,FALSE)</f>
        <v>#N/A</v>
      </c>
      <c r="D92" t="e">
        <f>VLOOKUP(A92,[2]Sheet2!$A:$A,1,FALSE)</f>
        <v>#N/A</v>
      </c>
      <c r="E92" t="e">
        <f>VLOOKUP(A92,[3]cortex!$A:$A,1,FALSE)</f>
        <v>#N/A</v>
      </c>
      <c r="F92" t="e">
        <f>VLOOKUP(A92,[4]liver!$A:$A,1,FALSE)</f>
        <v>#N/A</v>
      </c>
      <c r="H92">
        <f t="shared" si="1"/>
        <v>0</v>
      </c>
    </row>
    <row r="93" spans="1:8" x14ac:dyDescent="0.2">
      <c r="A93" s="1" t="s">
        <v>16</v>
      </c>
      <c r="B93" t="e">
        <f>VLOOKUP(A93,'[1]Table S2'!$B$3:$B$509,1,FALSE)</f>
        <v>#N/A</v>
      </c>
      <c r="C93" t="e">
        <f>VLOOKUP(A93,'[1]Table S5'!$B$3:$B$641,1,FALSE)</f>
        <v>#N/A</v>
      </c>
      <c r="D93" t="e">
        <f>VLOOKUP(A93,[2]Sheet2!$A:$A,1,FALSE)</f>
        <v>#N/A</v>
      </c>
      <c r="E93" t="e">
        <f>VLOOKUP(A93,[3]cortex!$A:$A,1,FALSE)</f>
        <v>#N/A</v>
      </c>
      <c r="F93" t="e">
        <f>VLOOKUP(A93,[4]liver!$A:$A,1,FALSE)</f>
        <v>#N/A</v>
      </c>
      <c r="H93">
        <f t="shared" si="1"/>
        <v>0</v>
      </c>
    </row>
    <row r="94" spans="1:8" x14ac:dyDescent="0.2">
      <c r="A94" s="1" t="s">
        <v>17</v>
      </c>
      <c r="B94" t="e">
        <f>VLOOKUP(A94,'[1]Table S2'!$B$3:$B$509,1,FALSE)</f>
        <v>#N/A</v>
      </c>
      <c r="C94" t="e">
        <f>VLOOKUP(A94,'[1]Table S5'!$B$3:$B$641,1,FALSE)</f>
        <v>#N/A</v>
      </c>
      <c r="D94" t="e">
        <f>VLOOKUP(A94,[2]Sheet2!$A:$A,1,FALSE)</f>
        <v>#N/A</v>
      </c>
      <c r="E94" t="e">
        <f>VLOOKUP(A94,[3]cortex!$A:$A,1,FALSE)</f>
        <v>#N/A</v>
      </c>
      <c r="F94" t="e">
        <f>VLOOKUP(A94,[4]liver!$A:$A,1,FALSE)</f>
        <v>#N/A</v>
      </c>
      <c r="H94">
        <f t="shared" si="1"/>
        <v>0</v>
      </c>
    </row>
    <row r="95" spans="1:8" x14ac:dyDescent="0.2">
      <c r="A95" s="1" t="s">
        <v>18</v>
      </c>
      <c r="B95" t="e">
        <f>VLOOKUP(A95,'[1]Table S2'!$B$3:$B$509,1,FALSE)</f>
        <v>#N/A</v>
      </c>
      <c r="C95" t="e">
        <f>VLOOKUP(A95,'[1]Table S5'!$B$3:$B$641,1,FALSE)</f>
        <v>#N/A</v>
      </c>
      <c r="D95" t="e">
        <f>VLOOKUP(A95,[2]Sheet2!$A:$A,1,FALSE)</f>
        <v>#N/A</v>
      </c>
      <c r="E95" t="e">
        <f>VLOOKUP(A95,[3]cortex!$A:$A,1,FALSE)</f>
        <v>#N/A</v>
      </c>
      <c r="F95" t="e">
        <f>VLOOKUP(A95,[4]liver!$A:$A,1,FALSE)</f>
        <v>#N/A</v>
      </c>
      <c r="H95">
        <f t="shared" si="1"/>
        <v>0</v>
      </c>
    </row>
    <row r="96" spans="1:8" x14ac:dyDescent="0.2">
      <c r="A96" s="1" t="s">
        <v>19</v>
      </c>
      <c r="B96" t="e">
        <f>VLOOKUP(A96,'[1]Table S2'!$B$3:$B$509,1,FALSE)</f>
        <v>#N/A</v>
      </c>
      <c r="C96" t="e">
        <f>VLOOKUP(A96,'[1]Table S5'!$B$3:$B$641,1,FALSE)</f>
        <v>#N/A</v>
      </c>
      <c r="D96" t="e">
        <f>VLOOKUP(A96,[2]Sheet2!$A:$A,1,FALSE)</f>
        <v>#N/A</v>
      </c>
      <c r="E96" t="e">
        <f>VLOOKUP(A96,[3]cortex!$A:$A,1,FALSE)</f>
        <v>#N/A</v>
      </c>
      <c r="F96" t="e">
        <f>VLOOKUP(A96,[4]liver!$A:$A,1,FALSE)</f>
        <v>#N/A</v>
      </c>
      <c r="H96">
        <f t="shared" si="1"/>
        <v>0</v>
      </c>
    </row>
    <row r="97" spans="1:8" x14ac:dyDescent="0.2">
      <c r="A97" s="1" t="s">
        <v>20</v>
      </c>
      <c r="B97" t="e">
        <f>VLOOKUP(A97,'[1]Table S2'!$B$3:$B$509,1,FALSE)</f>
        <v>#N/A</v>
      </c>
      <c r="C97" t="e">
        <f>VLOOKUP(A97,'[1]Table S5'!$B$3:$B$641,1,FALSE)</f>
        <v>#N/A</v>
      </c>
      <c r="D97" t="e">
        <f>VLOOKUP(A97,[2]Sheet2!$A:$A,1,FALSE)</f>
        <v>#N/A</v>
      </c>
      <c r="E97" t="e">
        <f>VLOOKUP(A97,[3]cortex!$A:$A,1,FALSE)</f>
        <v>#N/A</v>
      </c>
      <c r="F97" t="e">
        <f>VLOOKUP(A97,[4]liver!$A:$A,1,FALSE)</f>
        <v>#N/A</v>
      </c>
      <c r="H97">
        <f t="shared" si="1"/>
        <v>0</v>
      </c>
    </row>
    <row r="98" spans="1:8" x14ac:dyDescent="0.2">
      <c r="A98" s="1" t="s">
        <v>21</v>
      </c>
      <c r="B98" t="e">
        <f>VLOOKUP(A98,'[1]Table S2'!$B$3:$B$509,1,FALSE)</f>
        <v>#N/A</v>
      </c>
      <c r="C98" t="e">
        <f>VLOOKUP(A98,'[1]Table S5'!$B$3:$B$641,1,FALSE)</f>
        <v>#N/A</v>
      </c>
      <c r="D98" t="e">
        <f>VLOOKUP(A98,[2]Sheet2!$A:$A,1,FALSE)</f>
        <v>#N/A</v>
      </c>
      <c r="E98" t="e">
        <f>VLOOKUP(A98,[3]cortex!$A:$A,1,FALSE)</f>
        <v>#N/A</v>
      </c>
      <c r="F98" t="e">
        <f>VLOOKUP(A98,[4]liver!$A:$A,1,FALSE)</f>
        <v>#N/A</v>
      </c>
      <c r="H98">
        <f t="shared" si="1"/>
        <v>0</v>
      </c>
    </row>
    <row r="99" spans="1:8" x14ac:dyDescent="0.2">
      <c r="A99" s="1" t="s">
        <v>22</v>
      </c>
      <c r="B99" t="e">
        <f>VLOOKUP(A99,'[1]Table S2'!$B$3:$B$509,1,FALSE)</f>
        <v>#N/A</v>
      </c>
      <c r="C99" t="e">
        <f>VLOOKUP(A99,'[1]Table S5'!$B$3:$B$641,1,FALSE)</f>
        <v>#N/A</v>
      </c>
      <c r="D99" t="e">
        <f>VLOOKUP(A99,[2]Sheet2!$A:$A,1,FALSE)</f>
        <v>#N/A</v>
      </c>
      <c r="E99" t="e">
        <f>VLOOKUP(A99,[3]cortex!$A:$A,1,FALSE)</f>
        <v>#N/A</v>
      </c>
      <c r="F99" t="e">
        <f>VLOOKUP(A99,[4]liver!$A:$A,1,FALSE)</f>
        <v>#N/A</v>
      </c>
      <c r="H99">
        <f t="shared" si="1"/>
        <v>0</v>
      </c>
    </row>
    <row r="100" spans="1:8" x14ac:dyDescent="0.2">
      <c r="A100" s="1" t="s">
        <v>23</v>
      </c>
      <c r="B100" t="e">
        <f>VLOOKUP(A100,'[1]Table S2'!$B$3:$B$509,1,FALSE)</f>
        <v>#N/A</v>
      </c>
      <c r="C100" t="e">
        <f>VLOOKUP(A100,'[1]Table S5'!$B$3:$B$641,1,FALSE)</f>
        <v>#N/A</v>
      </c>
      <c r="D100" t="e">
        <f>VLOOKUP(A100,[2]Sheet2!$A:$A,1,FALSE)</f>
        <v>#N/A</v>
      </c>
      <c r="E100" t="e">
        <f>VLOOKUP(A100,[3]cortex!$A:$A,1,FALSE)</f>
        <v>#N/A</v>
      </c>
      <c r="F100" t="e">
        <f>VLOOKUP(A100,[4]liver!$A:$A,1,FALSE)</f>
        <v>#N/A</v>
      </c>
      <c r="H100">
        <f t="shared" si="1"/>
        <v>0</v>
      </c>
    </row>
    <row r="101" spans="1:8" x14ac:dyDescent="0.2">
      <c r="A101" s="1" t="s">
        <v>24</v>
      </c>
      <c r="B101" t="e">
        <f>VLOOKUP(A101,'[1]Table S2'!$B$3:$B$509,1,FALSE)</f>
        <v>#N/A</v>
      </c>
      <c r="C101" t="e">
        <f>VLOOKUP(A101,'[1]Table S5'!$B$3:$B$641,1,FALSE)</f>
        <v>#N/A</v>
      </c>
      <c r="D101" t="e">
        <f>VLOOKUP(A101,[2]Sheet2!$A:$A,1,FALSE)</f>
        <v>#N/A</v>
      </c>
      <c r="E101" t="e">
        <f>VLOOKUP(A101,[3]cortex!$A:$A,1,FALSE)</f>
        <v>#N/A</v>
      </c>
      <c r="F101" t="e">
        <f>VLOOKUP(A101,[4]liver!$A:$A,1,FALSE)</f>
        <v>#N/A</v>
      </c>
      <c r="H101">
        <f t="shared" si="1"/>
        <v>0</v>
      </c>
    </row>
    <row r="102" spans="1:8" x14ac:dyDescent="0.2">
      <c r="A102" s="1" t="s">
        <v>25</v>
      </c>
      <c r="B102" t="e">
        <f>VLOOKUP(A102,'[1]Table S2'!$B$3:$B$509,1,FALSE)</f>
        <v>#N/A</v>
      </c>
      <c r="C102" t="e">
        <f>VLOOKUP(A102,'[1]Table S5'!$B$3:$B$641,1,FALSE)</f>
        <v>#N/A</v>
      </c>
      <c r="D102" t="e">
        <f>VLOOKUP(A102,[2]Sheet2!$A:$A,1,FALSE)</f>
        <v>#N/A</v>
      </c>
      <c r="E102" t="e">
        <f>VLOOKUP(A102,[3]cortex!$A:$A,1,FALSE)</f>
        <v>#N/A</v>
      </c>
      <c r="F102" t="e">
        <f>VLOOKUP(A102,[4]liver!$A:$A,1,FALSE)</f>
        <v>#N/A</v>
      </c>
      <c r="H102">
        <f t="shared" si="1"/>
        <v>0</v>
      </c>
    </row>
    <row r="103" spans="1:8" x14ac:dyDescent="0.2">
      <c r="A103" s="1" t="s">
        <v>26</v>
      </c>
      <c r="B103" t="e">
        <f>VLOOKUP(A103,'[1]Table S2'!$B$3:$B$509,1,FALSE)</f>
        <v>#N/A</v>
      </c>
      <c r="C103" t="e">
        <f>VLOOKUP(A103,'[1]Table S5'!$B$3:$B$641,1,FALSE)</f>
        <v>#N/A</v>
      </c>
      <c r="D103" t="e">
        <f>VLOOKUP(A103,[2]Sheet2!$A:$A,1,FALSE)</f>
        <v>#N/A</v>
      </c>
      <c r="E103" t="e">
        <f>VLOOKUP(A103,[3]cortex!$A:$A,1,FALSE)</f>
        <v>#N/A</v>
      </c>
      <c r="F103" t="e">
        <f>VLOOKUP(A103,[4]liver!$A:$A,1,FALSE)</f>
        <v>#N/A</v>
      </c>
      <c r="H103">
        <f t="shared" si="1"/>
        <v>0</v>
      </c>
    </row>
    <row r="104" spans="1:8" x14ac:dyDescent="0.2">
      <c r="A104" s="1" t="s">
        <v>27</v>
      </c>
      <c r="B104" t="e">
        <f>VLOOKUP(A104,'[1]Table S2'!$B$3:$B$509,1,FALSE)</f>
        <v>#N/A</v>
      </c>
      <c r="C104" t="e">
        <f>VLOOKUP(A104,'[1]Table S5'!$B$3:$B$641,1,FALSE)</f>
        <v>#N/A</v>
      </c>
      <c r="D104" t="e">
        <f>VLOOKUP(A104,[2]Sheet2!$A:$A,1,FALSE)</f>
        <v>#N/A</v>
      </c>
      <c r="E104" t="e">
        <f>VLOOKUP(A104,[3]cortex!$A:$A,1,FALSE)</f>
        <v>#N/A</v>
      </c>
      <c r="F104" t="e">
        <f>VLOOKUP(A104,[4]liver!$A:$A,1,FALSE)</f>
        <v>#N/A</v>
      </c>
      <c r="H104">
        <f t="shared" si="1"/>
        <v>0</v>
      </c>
    </row>
    <row r="105" spans="1:8" x14ac:dyDescent="0.2">
      <c r="A105" s="1" t="s">
        <v>28</v>
      </c>
      <c r="B105" t="e">
        <f>VLOOKUP(A105,'[1]Table S2'!$B$3:$B$509,1,FALSE)</f>
        <v>#N/A</v>
      </c>
      <c r="C105" t="e">
        <f>VLOOKUP(A105,'[1]Table S5'!$B$3:$B$641,1,FALSE)</f>
        <v>#N/A</v>
      </c>
      <c r="D105" t="e">
        <f>VLOOKUP(A105,[2]Sheet2!$A:$A,1,FALSE)</f>
        <v>#N/A</v>
      </c>
      <c r="E105" t="e">
        <f>VLOOKUP(A105,[3]cortex!$A:$A,1,FALSE)</f>
        <v>#N/A</v>
      </c>
      <c r="F105" t="e">
        <f>VLOOKUP(A105,[4]liver!$A:$A,1,FALSE)</f>
        <v>#N/A</v>
      </c>
      <c r="H105">
        <f t="shared" si="1"/>
        <v>0</v>
      </c>
    </row>
    <row r="106" spans="1:8" x14ac:dyDescent="0.2">
      <c r="A106" s="1" t="s">
        <v>29</v>
      </c>
      <c r="B106" t="e">
        <f>VLOOKUP(A106,'[1]Table S2'!$B$3:$B$509,1,FALSE)</f>
        <v>#N/A</v>
      </c>
      <c r="C106" t="e">
        <f>VLOOKUP(A106,'[1]Table S5'!$B$3:$B$641,1,FALSE)</f>
        <v>#N/A</v>
      </c>
      <c r="D106" t="e">
        <f>VLOOKUP(A106,[2]Sheet2!$A:$A,1,FALSE)</f>
        <v>#N/A</v>
      </c>
      <c r="E106" t="e">
        <f>VLOOKUP(A106,[3]cortex!$A:$A,1,FALSE)</f>
        <v>#N/A</v>
      </c>
      <c r="F106" t="e">
        <f>VLOOKUP(A106,[4]liver!$A:$A,1,FALSE)</f>
        <v>#N/A</v>
      </c>
      <c r="H106">
        <f t="shared" si="1"/>
        <v>0</v>
      </c>
    </row>
    <row r="107" spans="1:8" x14ac:dyDescent="0.2">
      <c r="A107" s="1" t="s">
        <v>30</v>
      </c>
      <c r="B107" t="e">
        <f>VLOOKUP(A107,'[1]Table S2'!$B$3:$B$509,1,FALSE)</f>
        <v>#N/A</v>
      </c>
      <c r="C107" t="e">
        <f>VLOOKUP(A107,'[1]Table S5'!$B$3:$B$641,1,FALSE)</f>
        <v>#N/A</v>
      </c>
      <c r="D107" t="e">
        <f>VLOOKUP(A107,[2]Sheet2!$A:$A,1,FALSE)</f>
        <v>#N/A</v>
      </c>
      <c r="E107" t="e">
        <f>VLOOKUP(A107,[3]cortex!$A:$A,1,FALSE)</f>
        <v>#N/A</v>
      </c>
      <c r="F107" t="e">
        <f>VLOOKUP(A107,[4]liver!$A:$A,1,FALSE)</f>
        <v>#N/A</v>
      </c>
      <c r="H107">
        <f t="shared" si="1"/>
        <v>0</v>
      </c>
    </row>
    <row r="108" spans="1:8" x14ac:dyDescent="0.2">
      <c r="A108" s="1" t="s">
        <v>31</v>
      </c>
      <c r="B108" t="e">
        <f>VLOOKUP(A108,'[1]Table S2'!$B$3:$B$509,1,FALSE)</f>
        <v>#N/A</v>
      </c>
      <c r="C108" t="e">
        <f>VLOOKUP(A108,'[1]Table S5'!$B$3:$B$641,1,FALSE)</f>
        <v>#N/A</v>
      </c>
      <c r="D108" t="e">
        <f>VLOOKUP(A108,[2]Sheet2!$A:$A,1,FALSE)</f>
        <v>#N/A</v>
      </c>
      <c r="E108" t="e">
        <f>VLOOKUP(A108,[3]cortex!$A:$A,1,FALSE)</f>
        <v>#N/A</v>
      </c>
      <c r="F108" t="e">
        <f>VLOOKUP(A108,[4]liver!$A:$A,1,FALSE)</f>
        <v>#N/A</v>
      </c>
      <c r="H108">
        <f t="shared" si="1"/>
        <v>0</v>
      </c>
    </row>
    <row r="109" spans="1:8" x14ac:dyDescent="0.2">
      <c r="A109" s="1" t="s">
        <v>32</v>
      </c>
      <c r="B109" t="e">
        <f>VLOOKUP(A109,'[1]Table S2'!$B$3:$B$509,1,FALSE)</f>
        <v>#N/A</v>
      </c>
      <c r="C109" t="e">
        <f>VLOOKUP(A109,'[1]Table S5'!$B$3:$B$641,1,FALSE)</f>
        <v>#N/A</v>
      </c>
      <c r="D109" t="e">
        <f>VLOOKUP(A109,[2]Sheet2!$A:$A,1,FALSE)</f>
        <v>#N/A</v>
      </c>
      <c r="E109" t="e">
        <f>VLOOKUP(A109,[3]cortex!$A:$A,1,FALSE)</f>
        <v>#N/A</v>
      </c>
      <c r="F109" t="e">
        <f>VLOOKUP(A109,[4]liver!$A:$A,1,FALSE)</f>
        <v>#N/A</v>
      </c>
      <c r="H109">
        <f t="shared" si="1"/>
        <v>0</v>
      </c>
    </row>
    <row r="110" spans="1:8" x14ac:dyDescent="0.2">
      <c r="A110" s="1" t="s">
        <v>33</v>
      </c>
      <c r="B110" t="e">
        <f>VLOOKUP(A110,'[1]Table S2'!$B$3:$B$509,1,FALSE)</f>
        <v>#N/A</v>
      </c>
      <c r="C110" t="e">
        <f>VLOOKUP(A110,'[1]Table S5'!$B$3:$B$641,1,FALSE)</f>
        <v>#N/A</v>
      </c>
      <c r="D110" t="e">
        <f>VLOOKUP(A110,[2]Sheet2!$A:$A,1,FALSE)</f>
        <v>#N/A</v>
      </c>
      <c r="E110" t="e">
        <f>VLOOKUP(A110,[3]cortex!$A:$A,1,FALSE)</f>
        <v>#N/A</v>
      </c>
      <c r="F110" t="e">
        <f>VLOOKUP(A110,[4]liver!$A:$A,1,FALSE)</f>
        <v>#N/A</v>
      </c>
      <c r="H110">
        <f t="shared" si="1"/>
        <v>0</v>
      </c>
    </row>
    <row r="111" spans="1:8" x14ac:dyDescent="0.2">
      <c r="A111" s="1" t="s">
        <v>34</v>
      </c>
      <c r="B111" t="e">
        <f>VLOOKUP(A111,'[1]Table S2'!$B$3:$B$509,1,FALSE)</f>
        <v>#N/A</v>
      </c>
      <c r="C111" t="e">
        <f>VLOOKUP(A111,'[1]Table S5'!$B$3:$B$641,1,FALSE)</f>
        <v>#N/A</v>
      </c>
      <c r="D111" t="e">
        <f>VLOOKUP(A111,[2]Sheet2!$A:$A,1,FALSE)</f>
        <v>#N/A</v>
      </c>
      <c r="E111" t="e">
        <f>VLOOKUP(A111,[3]cortex!$A:$A,1,FALSE)</f>
        <v>#N/A</v>
      </c>
      <c r="F111" t="e">
        <f>VLOOKUP(A111,[4]liver!$A:$A,1,FALSE)</f>
        <v>#N/A</v>
      </c>
      <c r="H111">
        <f t="shared" si="1"/>
        <v>0</v>
      </c>
    </row>
    <row r="112" spans="1:8" x14ac:dyDescent="0.2">
      <c r="A112" s="1" t="s">
        <v>35</v>
      </c>
      <c r="B112" t="e">
        <f>VLOOKUP(A112,'[1]Table S2'!$B$3:$B$509,1,FALSE)</f>
        <v>#N/A</v>
      </c>
      <c r="C112" t="e">
        <f>VLOOKUP(A112,'[1]Table S5'!$B$3:$B$641,1,FALSE)</f>
        <v>#N/A</v>
      </c>
      <c r="D112" t="e">
        <f>VLOOKUP(A112,[2]Sheet2!$A:$A,1,FALSE)</f>
        <v>#N/A</v>
      </c>
      <c r="E112" t="e">
        <f>VLOOKUP(A112,[3]cortex!$A:$A,1,FALSE)</f>
        <v>#N/A</v>
      </c>
      <c r="F112" t="e">
        <f>VLOOKUP(A112,[4]liver!$A:$A,1,FALSE)</f>
        <v>#N/A</v>
      </c>
      <c r="H112">
        <f t="shared" si="1"/>
        <v>0</v>
      </c>
    </row>
    <row r="113" spans="1:8" x14ac:dyDescent="0.2">
      <c r="A113" s="1" t="s">
        <v>36</v>
      </c>
      <c r="B113" t="e">
        <f>VLOOKUP(A113,'[1]Table S2'!$B$3:$B$509,1,FALSE)</f>
        <v>#N/A</v>
      </c>
      <c r="C113" t="e">
        <f>VLOOKUP(A113,'[1]Table S5'!$B$3:$B$641,1,FALSE)</f>
        <v>#N/A</v>
      </c>
      <c r="D113" t="e">
        <f>VLOOKUP(A113,[2]Sheet2!$A:$A,1,FALSE)</f>
        <v>#N/A</v>
      </c>
      <c r="E113" t="e">
        <f>VLOOKUP(A113,[3]cortex!$A:$A,1,FALSE)</f>
        <v>#N/A</v>
      </c>
      <c r="F113" t="e">
        <f>VLOOKUP(A113,[4]liver!$A:$A,1,FALSE)</f>
        <v>#N/A</v>
      </c>
      <c r="H113">
        <f t="shared" si="1"/>
        <v>0</v>
      </c>
    </row>
    <row r="114" spans="1:8" x14ac:dyDescent="0.2">
      <c r="A114" s="1" t="s">
        <v>38</v>
      </c>
      <c r="B114" t="e">
        <f>VLOOKUP(A114,'[1]Table S2'!$B$3:$B$509,1,FALSE)</f>
        <v>#N/A</v>
      </c>
      <c r="C114" t="e">
        <f>VLOOKUP(A114,'[1]Table S5'!$B$3:$B$641,1,FALSE)</f>
        <v>#N/A</v>
      </c>
      <c r="D114" t="e">
        <f>VLOOKUP(A114,[2]Sheet2!$A:$A,1,FALSE)</f>
        <v>#N/A</v>
      </c>
      <c r="E114" t="e">
        <f>VLOOKUP(A114,[3]cortex!$A:$A,1,FALSE)</f>
        <v>#N/A</v>
      </c>
      <c r="F114" t="e">
        <f>VLOOKUP(A114,[4]liver!$A:$A,1,FALSE)</f>
        <v>#N/A</v>
      </c>
      <c r="H114">
        <f t="shared" si="1"/>
        <v>0</v>
      </c>
    </row>
    <row r="115" spans="1:8" x14ac:dyDescent="0.2">
      <c r="A115" s="1" t="s">
        <v>39</v>
      </c>
      <c r="B115" t="e">
        <f>VLOOKUP(A115,'[1]Table S2'!$B$3:$B$509,1,FALSE)</f>
        <v>#N/A</v>
      </c>
      <c r="C115" t="e">
        <f>VLOOKUP(A115,'[1]Table S5'!$B$3:$B$641,1,FALSE)</f>
        <v>#N/A</v>
      </c>
      <c r="D115" t="e">
        <f>VLOOKUP(A115,[2]Sheet2!$A:$A,1,FALSE)</f>
        <v>#N/A</v>
      </c>
      <c r="E115" t="e">
        <f>VLOOKUP(A115,[3]cortex!$A:$A,1,FALSE)</f>
        <v>#N/A</v>
      </c>
      <c r="F115" t="e">
        <f>VLOOKUP(A115,[4]liver!$A:$A,1,FALSE)</f>
        <v>#N/A</v>
      </c>
      <c r="H115">
        <f t="shared" si="1"/>
        <v>0</v>
      </c>
    </row>
    <row r="116" spans="1:8" x14ac:dyDescent="0.2">
      <c r="A116" s="1" t="s">
        <v>40</v>
      </c>
      <c r="B116" t="e">
        <f>VLOOKUP(A116,'[1]Table S2'!$B$3:$B$509,1,FALSE)</f>
        <v>#N/A</v>
      </c>
      <c r="C116" t="e">
        <f>VLOOKUP(A116,'[1]Table S5'!$B$3:$B$641,1,FALSE)</f>
        <v>#N/A</v>
      </c>
      <c r="D116" t="e">
        <f>VLOOKUP(A116,[2]Sheet2!$A:$A,1,FALSE)</f>
        <v>#N/A</v>
      </c>
      <c r="E116" t="e">
        <f>VLOOKUP(A116,[3]cortex!$A:$A,1,FALSE)</f>
        <v>#N/A</v>
      </c>
      <c r="F116" t="e">
        <f>VLOOKUP(A116,[4]liver!$A:$A,1,FALSE)</f>
        <v>#N/A</v>
      </c>
      <c r="H116">
        <f t="shared" si="1"/>
        <v>0</v>
      </c>
    </row>
    <row r="117" spans="1:8" x14ac:dyDescent="0.2">
      <c r="A117" s="1" t="s">
        <v>41</v>
      </c>
      <c r="B117" t="e">
        <f>VLOOKUP(A117,'[1]Table S2'!$B$3:$B$509,1,FALSE)</f>
        <v>#N/A</v>
      </c>
      <c r="C117" t="e">
        <f>VLOOKUP(A117,'[1]Table S5'!$B$3:$B$641,1,FALSE)</f>
        <v>#N/A</v>
      </c>
      <c r="D117" t="e">
        <f>VLOOKUP(A117,[2]Sheet2!$A:$A,1,FALSE)</f>
        <v>#N/A</v>
      </c>
      <c r="E117" t="e">
        <f>VLOOKUP(A117,[3]cortex!$A:$A,1,FALSE)</f>
        <v>#N/A</v>
      </c>
      <c r="F117" t="e">
        <f>VLOOKUP(A117,[4]liver!$A:$A,1,FALSE)</f>
        <v>#N/A</v>
      </c>
      <c r="H117">
        <f t="shared" si="1"/>
        <v>0</v>
      </c>
    </row>
    <row r="118" spans="1:8" x14ac:dyDescent="0.2">
      <c r="A118" s="1" t="s">
        <v>43</v>
      </c>
      <c r="B118" t="e">
        <f>VLOOKUP(A118,'[1]Table S2'!$B$3:$B$509,1,FALSE)</f>
        <v>#N/A</v>
      </c>
      <c r="C118" t="e">
        <f>VLOOKUP(A118,'[1]Table S5'!$B$3:$B$641,1,FALSE)</f>
        <v>#N/A</v>
      </c>
      <c r="D118" t="e">
        <f>VLOOKUP(A118,[2]Sheet2!$A:$A,1,FALSE)</f>
        <v>#N/A</v>
      </c>
      <c r="E118" t="e">
        <f>VLOOKUP(A118,[3]cortex!$A:$A,1,FALSE)</f>
        <v>#N/A</v>
      </c>
      <c r="F118" t="e">
        <f>VLOOKUP(A118,[4]liver!$A:$A,1,FALSE)</f>
        <v>#N/A</v>
      </c>
      <c r="H118">
        <f t="shared" si="1"/>
        <v>0</v>
      </c>
    </row>
    <row r="119" spans="1:8" x14ac:dyDescent="0.2">
      <c r="A119" s="1" t="s">
        <v>44</v>
      </c>
      <c r="B119" t="e">
        <f>VLOOKUP(A119,'[1]Table S2'!$B$3:$B$509,1,FALSE)</f>
        <v>#N/A</v>
      </c>
      <c r="C119" t="e">
        <f>VLOOKUP(A119,'[1]Table S5'!$B$3:$B$641,1,FALSE)</f>
        <v>#N/A</v>
      </c>
      <c r="D119" t="e">
        <f>VLOOKUP(A119,[2]Sheet2!$A:$A,1,FALSE)</f>
        <v>#N/A</v>
      </c>
      <c r="E119" t="e">
        <f>VLOOKUP(A119,[3]cortex!$A:$A,1,FALSE)</f>
        <v>#N/A</v>
      </c>
      <c r="F119" t="e">
        <f>VLOOKUP(A119,[4]liver!$A:$A,1,FALSE)</f>
        <v>#N/A</v>
      </c>
      <c r="H119">
        <f t="shared" si="1"/>
        <v>0</v>
      </c>
    </row>
    <row r="120" spans="1:8" x14ac:dyDescent="0.2">
      <c r="A120" s="1" t="s">
        <v>45</v>
      </c>
      <c r="B120" t="e">
        <f>VLOOKUP(A120,'[1]Table S2'!$B$3:$B$509,1,FALSE)</f>
        <v>#N/A</v>
      </c>
      <c r="C120" t="e">
        <f>VLOOKUP(A120,'[1]Table S5'!$B$3:$B$641,1,FALSE)</f>
        <v>#N/A</v>
      </c>
      <c r="D120" t="e">
        <f>VLOOKUP(A120,[2]Sheet2!$A:$A,1,FALSE)</f>
        <v>#N/A</v>
      </c>
      <c r="E120" t="e">
        <f>VLOOKUP(A120,[3]cortex!$A:$A,1,FALSE)</f>
        <v>#N/A</v>
      </c>
      <c r="F120" t="e">
        <f>VLOOKUP(A120,[4]liver!$A:$A,1,FALSE)</f>
        <v>#N/A</v>
      </c>
      <c r="H120">
        <f t="shared" si="1"/>
        <v>0</v>
      </c>
    </row>
    <row r="121" spans="1:8" x14ac:dyDescent="0.2">
      <c r="A121" s="1" t="s">
        <v>47</v>
      </c>
      <c r="B121" t="e">
        <f>VLOOKUP(A121,'[1]Table S2'!$B$3:$B$509,1,FALSE)</f>
        <v>#N/A</v>
      </c>
      <c r="C121" t="e">
        <f>VLOOKUP(A121,'[1]Table S5'!$B$3:$B$641,1,FALSE)</f>
        <v>#N/A</v>
      </c>
      <c r="D121" t="e">
        <f>VLOOKUP(A121,[2]Sheet2!$A:$A,1,FALSE)</f>
        <v>#N/A</v>
      </c>
      <c r="E121" t="e">
        <f>VLOOKUP(A121,[3]cortex!$A:$A,1,FALSE)</f>
        <v>#N/A</v>
      </c>
      <c r="F121" t="e">
        <f>VLOOKUP(A121,[4]liver!$A:$A,1,FALSE)</f>
        <v>#N/A</v>
      </c>
      <c r="H121">
        <f t="shared" si="1"/>
        <v>0</v>
      </c>
    </row>
    <row r="122" spans="1:8" x14ac:dyDescent="0.2">
      <c r="A122" s="1" t="s">
        <v>48</v>
      </c>
      <c r="B122" t="e">
        <f>VLOOKUP(A122,'[1]Table S2'!$B$3:$B$509,1,FALSE)</f>
        <v>#N/A</v>
      </c>
      <c r="C122" t="e">
        <f>VLOOKUP(A122,'[1]Table S5'!$B$3:$B$641,1,FALSE)</f>
        <v>#N/A</v>
      </c>
      <c r="D122" t="e">
        <f>VLOOKUP(A122,[2]Sheet2!$A:$A,1,FALSE)</f>
        <v>#N/A</v>
      </c>
      <c r="E122" t="e">
        <f>VLOOKUP(A122,[3]cortex!$A:$A,1,FALSE)</f>
        <v>#N/A</v>
      </c>
      <c r="F122" t="e">
        <f>VLOOKUP(A122,[4]liver!$A:$A,1,FALSE)</f>
        <v>#N/A</v>
      </c>
      <c r="H122">
        <f t="shared" si="1"/>
        <v>0</v>
      </c>
    </row>
    <row r="123" spans="1:8" x14ac:dyDescent="0.2">
      <c r="A123" s="1" t="s">
        <v>49</v>
      </c>
      <c r="B123" t="e">
        <f>VLOOKUP(A123,'[1]Table S2'!$B$3:$B$509,1,FALSE)</f>
        <v>#N/A</v>
      </c>
      <c r="C123" t="e">
        <f>VLOOKUP(A123,'[1]Table S5'!$B$3:$B$641,1,FALSE)</f>
        <v>#N/A</v>
      </c>
      <c r="D123" t="e">
        <f>VLOOKUP(A123,[2]Sheet2!$A:$A,1,FALSE)</f>
        <v>#N/A</v>
      </c>
      <c r="E123" t="e">
        <f>VLOOKUP(A123,[3]cortex!$A:$A,1,FALSE)</f>
        <v>#N/A</v>
      </c>
      <c r="F123" t="e">
        <f>VLOOKUP(A123,[4]liver!$A:$A,1,FALSE)</f>
        <v>#N/A</v>
      </c>
      <c r="H123">
        <f t="shared" si="1"/>
        <v>0</v>
      </c>
    </row>
    <row r="124" spans="1:8" x14ac:dyDescent="0.2">
      <c r="A124" s="1" t="s">
        <v>50</v>
      </c>
      <c r="B124" t="e">
        <f>VLOOKUP(A124,'[1]Table S2'!$B$3:$B$509,1,FALSE)</f>
        <v>#N/A</v>
      </c>
      <c r="C124" t="e">
        <f>VLOOKUP(A124,'[1]Table S5'!$B$3:$B$641,1,FALSE)</f>
        <v>#N/A</v>
      </c>
      <c r="D124" t="e">
        <f>VLOOKUP(A124,[2]Sheet2!$A:$A,1,FALSE)</f>
        <v>#N/A</v>
      </c>
      <c r="E124" t="e">
        <f>VLOOKUP(A124,[3]cortex!$A:$A,1,FALSE)</f>
        <v>#N/A</v>
      </c>
      <c r="F124" t="e">
        <f>VLOOKUP(A124,[4]liver!$A:$A,1,FALSE)</f>
        <v>#N/A</v>
      </c>
      <c r="H124">
        <f t="shared" si="1"/>
        <v>0</v>
      </c>
    </row>
    <row r="125" spans="1:8" x14ac:dyDescent="0.2">
      <c r="A125" s="1" t="s">
        <v>51</v>
      </c>
      <c r="B125" t="e">
        <f>VLOOKUP(A125,'[1]Table S2'!$B$3:$B$509,1,FALSE)</f>
        <v>#N/A</v>
      </c>
      <c r="C125" t="e">
        <f>VLOOKUP(A125,'[1]Table S5'!$B$3:$B$641,1,FALSE)</f>
        <v>#N/A</v>
      </c>
      <c r="D125" t="e">
        <f>VLOOKUP(A125,[2]Sheet2!$A:$A,1,FALSE)</f>
        <v>#N/A</v>
      </c>
      <c r="E125" t="e">
        <f>VLOOKUP(A125,[3]cortex!$A:$A,1,FALSE)</f>
        <v>#N/A</v>
      </c>
      <c r="F125" t="e">
        <f>VLOOKUP(A125,[4]liver!$A:$A,1,FALSE)</f>
        <v>#N/A</v>
      </c>
      <c r="H125">
        <f t="shared" si="1"/>
        <v>0</v>
      </c>
    </row>
    <row r="126" spans="1:8" x14ac:dyDescent="0.2">
      <c r="A126" s="1" t="s">
        <v>56</v>
      </c>
      <c r="B126" t="e">
        <f>VLOOKUP(A126,'[1]Table S2'!$B$3:$B$509,1,FALSE)</f>
        <v>#N/A</v>
      </c>
      <c r="C126" t="e">
        <f>VLOOKUP(A126,'[1]Table S5'!$B$3:$B$641,1,FALSE)</f>
        <v>#N/A</v>
      </c>
      <c r="D126" t="e">
        <f>VLOOKUP(A126,[2]Sheet2!$A:$A,1,FALSE)</f>
        <v>#N/A</v>
      </c>
      <c r="E126" t="e">
        <f>VLOOKUP(A126,[3]cortex!$A:$A,1,FALSE)</f>
        <v>#N/A</v>
      </c>
      <c r="F126" t="e">
        <f>VLOOKUP(A126,[4]liver!$A:$A,1,FALSE)</f>
        <v>#N/A</v>
      </c>
      <c r="H126">
        <f t="shared" si="1"/>
        <v>0</v>
      </c>
    </row>
    <row r="127" spans="1:8" x14ac:dyDescent="0.2">
      <c r="A127" s="1" t="s">
        <v>57</v>
      </c>
      <c r="B127" t="e">
        <f>VLOOKUP(A127,'[1]Table S2'!$B$3:$B$509,1,FALSE)</f>
        <v>#N/A</v>
      </c>
      <c r="C127" t="e">
        <f>VLOOKUP(A127,'[1]Table S5'!$B$3:$B$641,1,FALSE)</f>
        <v>#N/A</v>
      </c>
      <c r="D127" t="e">
        <f>VLOOKUP(A127,[2]Sheet2!$A:$A,1,FALSE)</f>
        <v>#N/A</v>
      </c>
      <c r="E127" t="e">
        <f>VLOOKUP(A127,[3]cortex!$A:$A,1,FALSE)</f>
        <v>#N/A</v>
      </c>
      <c r="F127" t="e">
        <f>VLOOKUP(A127,[4]liver!$A:$A,1,FALSE)</f>
        <v>#N/A</v>
      </c>
      <c r="H127">
        <f t="shared" si="1"/>
        <v>0</v>
      </c>
    </row>
    <row r="128" spans="1:8" x14ac:dyDescent="0.2">
      <c r="A128" s="1" t="s">
        <v>58</v>
      </c>
      <c r="B128" t="e">
        <f>VLOOKUP(A128,'[1]Table S2'!$B$3:$B$509,1,FALSE)</f>
        <v>#N/A</v>
      </c>
      <c r="C128" t="e">
        <f>VLOOKUP(A128,'[1]Table S5'!$B$3:$B$641,1,FALSE)</f>
        <v>#N/A</v>
      </c>
      <c r="D128" t="e">
        <f>VLOOKUP(A128,[2]Sheet2!$A:$A,1,FALSE)</f>
        <v>#N/A</v>
      </c>
      <c r="E128" t="e">
        <f>VLOOKUP(A128,[3]cortex!$A:$A,1,FALSE)</f>
        <v>#N/A</v>
      </c>
      <c r="F128" t="e">
        <f>VLOOKUP(A128,[4]liver!$A:$A,1,FALSE)</f>
        <v>#N/A</v>
      </c>
      <c r="H128">
        <f t="shared" si="1"/>
        <v>0</v>
      </c>
    </row>
    <row r="129" spans="1:8" x14ac:dyDescent="0.2">
      <c r="A129" s="1" t="s">
        <v>59</v>
      </c>
      <c r="B129" t="e">
        <f>VLOOKUP(A129,'[1]Table S2'!$B$3:$B$509,1,FALSE)</f>
        <v>#N/A</v>
      </c>
      <c r="C129" t="e">
        <f>VLOOKUP(A129,'[1]Table S5'!$B$3:$B$641,1,FALSE)</f>
        <v>#N/A</v>
      </c>
      <c r="D129" t="e">
        <f>VLOOKUP(A129,[2]Sheet2!$A:$A,1,FALSE)</f>
        <v>#N/A</v>
      </c>
      <c r="E129" t="e">
        <f>VLOOKUP(A129,[3]cortex!$A:$A,1,FALSE)</f>
        <v>#N/A</v>
      </c>
      <c r="F129" t="e">
        <f>VLOOKUP(A129,[4]liver!$A:$A,1,FALSE)</f>
        <v>#N/A</v>
      </c>
      <c r="H129">
        <f t="shared" si="1"/>
        <v>0</v>
      </c>
    </row>
    <row r="130" spans="1:8" x14ac:dyDescent="0.2">
      <c r="A130" s="1" t="s">
        <v>60</v>
      </c>
      <c r="B130" t="e">
        <f>VLOOKUP(A130,'[1]Table S2'!$B$3:$B$509,1,FALSE)</f>
        <v>#N/A</v>
      </c>
      <c r="C130" t="e">
        <f>VLOOKUP(A130,'[1]Table S5'!$B$3:$B$641,1,FALSE)</f>
        <v>#N/A</v>
      </c>
      <c r="D130" t="e">
        <f>VLOOKUP(A130,[2]Sheet2!$A:$A,1,FALSE)</f>
        <v>#N/A</v>
      </c>
      <c r="E130" t="e">
        <f>VLOOKUP(A130,[3]cortex!$A:$A,1,FALSE)</f>
        <v>#N/A</v>
      </c>
      <c r="F130" t="e">
        <f>VLOOKUP(A130,[4]liver!$A:$A,1,FALSE)</f>
        <v>#N/A</v>
      </c>
      <c r="H130">
        <f t="shared" ref="H130:H193" si="2">COUNTIF(B130:G130,A130)</f>
        <v>0</v>
      </c>
    </row>
    <row r="131" spans="1:8" x14ac:dyDescent="0.2">
      <c r="A131" s="1" t="s">
        <v>62</v>
      </c>
      <c r="B131" t="e">
        <f>VLOOKUP(A131,'[1]Table S2'!$B$3:$B$509,1,FALSE)</f>
        <v>#N/A</v>
      </c>
      <c r="C131" t="e">
        <f>VLOOKUP(A131,'[1]Table S5'!$B$3:$B$641,1,FALSE)</f>
        <v>#N/A</v>
      </c>
      <c r="D131" t="e">
        <f>VLOOKUP(A131,[2]Sheet2!$A:$A,1,FALSE)</f>
        <v>#N/A</v>
      </c>
      <c r="E131" t="e">
        <f>VLOOKUP(A131,[3]cortex!$A:$A,1,FALSE)</f>
        <v>#N/A</v>
      </c>
      <c r="F131" t="e">
        <f>VLOOKUP(A131,[4]liver!$A:$A,1,FALSE)</f>
        <v>#N/A</v>
      </c>
      <c r="H131">
        <f t="shared" si="2"/>
        <v>0</v>
      </c>
    </row>
    <row r="132" spans="1:8" x14ac:dyDescent="0.2">
      <c r="A132" s="1" t="s">
        <v>63</v>
      </c>
      <c r="B132" t="e">
        <f>VLOOKUP(A132,'[1]Table S2'!$B$3:$B$509,1,FALSE)</f>
        <v>#N/A</v>
      </c>
      <c r="C132" t="e">
        <f>VLOOKUP(A132,'[1]Table S5'!$B$3:$B$641,1,FALSE)</f>
        <v>#N/A</v>
      </c>
      <c r="D132" t="e">
        <f>VLOOKUP(A132,[2]Sheet2!$A:$A,1,FALSE)</f>
        <v>#N/A</v>
      </c>
      <c r="E132" t="e">
        <f>VLOOKUP(A132,[3]cortex!$A:$A,1,FALSE)</f>
        <v>#N/A</v>
      </c>
      <c r="F132" t="e">
        <f>VLOOKUP(A132,[4]liver!$A:$A,1,FALSE)</f>
        <v>#N/A</v>
      </c>
      <c r="H132">
        <f t="shared" si="2"/>
        <v>0</v>
      </c>
    </row>
    <row r="133" spans="1:8" x14ac:dyDescent="0.2">
      <c r="A133" s="1" t="s">
        <v>64</v>
      </c>
      <c r="B133" t="e">
        <f>VLOOKUP(A133,'[1]Table S2'!$B$3:$B$509,1,FALSE)</f>
        <v>#N/A</v>
      </c>
      <c r="C133" t="e">
        <f>VLOOKUP(A133,'[1]Table S5'!$B$3:$B$641,1,FALSE)</f>
        <v>#N/A</v>
      </c>
      <c r="D133" t="e">
        <f>VLOOKUP(A133,[2]Sheet2!$A:$A,1,FALSE)</f>
        <v>#N/A</v>
      </c>
      <c r="E133" t="e">
        <f>VLOOKUP(A133,[3]cortex!$A:$A,1,FALSE)</f>
        <v>#N/A</v>
      </c>
      <c r="F133" t="e">
        <f>VLOOKUP(A133,[4]liver!$A:$A,1,FALSE)</f>
        <v>#N/A</v>
      </c>
      <c r="H133">
        <f t="shared" si="2"/>
        <v>0</v>
      </c>
    </row>
    <row r="134" spans="1:8" x14ac:dyDescent="0.2">
      <c r="A134" s="1" t="s">
        <v>66</v>
      </c>
      <c r="B134" t="e">
        <f>VLOOKUP(A134,'[1]Table S2'!$B$3:$B$509,1,FALSE)</f>
        <v>#N/A</v>
      </c>
      <c r="C134" t="e">
        <f>VLOOKUP(A134,'[1]Table S5'!$B$3:$B$641,1,FALSE)</f>
        <v>#N/A</v>
      </c>
      <c r="D134" t="e">
        <f>VLOOKUP(A134,[2]Sheet2!$A:$A,1,FALSE)</f>
        <v>#N/A</v>
      </c>
      <c r="E134" t="e">
        <f>VLOOKUP(A134,[3]cortex!$A:$A,1,FALSE)</f>
        <v>#N/A</v>
      </c>
      <c r="F134" t="e">
        <f>VLOOKUP(A134,[4]liver!$A:$A,1,FALSE)</f>
        <v>#N/A</v>
      </c>
      <c r="H134">
        <f t="shared" si="2"/>
        <v>0</v>
      </c>
    </row>
    <row r="135" spans="1:8" x14ac:dyDescent="0.2">
      <c r="A135" s="1" t="s">
        <v>67</v>
      </c>
      <c r="B135" t="e">
        <f>VLOOKUP(A135,'[1]Table S2'!$B$3:$B$509,1,FALSE)</f>
        <v>#N/A</v>
      </c>
      <c r="C135" t="e">
        <f>VLOOKUP(A135,'[1]Table S5'!$B$3:$B$641,1,FALSE)</f>
        <v>#N/A</v>
      </c>
      <c r="D135" t="e">
        <f>VLOOKUP(A135,[2]Sheet2!$A:$A,1,FALSE)</f>
        <v>#N/A</v>
      </c>
      <c r="E135" t="e">
        <f>VLOOKUP(A135,[3]cortex!$A:$A,1,FALSE)</f>
        <v>#N/A</v>
      </c>
      <c r="F135" t="e">
        <f>VLOOKUP(A135,[4]liver!$A:$A,1,FALSE)</f>
        <v>#N/A</v>
      </c>
      <c r="H135">
        <f t="shared" si="2"/>
        <v>0</v>
      </c>
    </row>
    <row r="136" spans="1:8" x14ac:dyDescent="0.2">
      <c r="A136" s="1" t="s">
        <v>68</v>
      </c>
      <c r="B136" t="e">
        <f>VLOOKUP(A136,'[1]Table S2'!$B$3:$B$509,1,FALSE)</f>
        <v>#N/A</v>
      </c>
      <c r="C136" t="e">
        <f>VLOOKUP(A136,'[1]Table S5'!$B$3:$B$641,1,FALSE)</f>
        <v>#N/A</v>
      </c>
      <c r="D136" t="e">
        <f>VLOOKUP(A136,[2]Sheet2!$A:$A,1,FALSE)</f>
        <v>#N/A</v>
      </c>
      <c r="E136" t="e">
        <f>VLOOKUP(A136,[3]cortex!$A:$A,1,FALSE)</f>
        <v>#N/A</v>
      </c>
      <c r="F136" t="e">
        <f>VLOOKUP(A136,[4]liver!$A:$A,1,FALSE)</f>
        <v>#N/A</v>
      </c>
      <c r="H136">
        <f t="shared" si="2"/>
        <v>0</v>
      </c>
    </row>
    <row r="137" spans="1:8" x14ac:dyDescent="0.2">
      <c r="A137" s="1" t="s">
        <v>69</v>
      </c>
      <c r="B137" t="e">
        <f>VLOOKUP(A137,'[1]Table S2'!$B$3:$B$509,1,FALSE)</f>
        <v>#N/A</v>
      </c>
      <c r="C137" t="e">
        <f>VLOOKUP(A137,'[1]Table S5'!$B$3:$B$641,1,FALSE)</f>
        <v>#N/A</v>
      </c>
      <c r="D137" t="e">
        <f>VLOOKUP(A137,[2]Sheet2!$A:$A,1,FALSE)</f>
        <v>#N/A</v>
      </c>
      <c r="E137" t="e">
        <f>VLOOKUP(A137,[3]cortex!$A:$A,1,FALSE)</f>
        <v>#N/A</v>
      </c>
      <c r="F137" t="e">
        <f>VLOOKUP(A137,[4]liver!$A:$A,1,FALSE)</f>
        <v>#N/A</v>
      </c>
      <c r="H137">
        <f t="shared" si="2"/>
        <v>0</v>
      </c>
    </row>
    <row r="138" spans="1:8" x14ac:dyDescent="0.2">
      <c r="A138" s="1" t="s">
        <v>70</v>
      </c>
      <c r="B138" t="e">
        <f>VLOOKUP(A138,'[1]Table S2'!$B$3:$B$509,1,FALSE)</f>
        <v>#N/A</v>
      </c>
      <c r="C138" t="e">
        <f>VLOOKUP(A138,'[1]Table S5'!$B$3:$B$641,1,FALSE)</f>
        <v>#N/A</v>
      </c>
      <c r="D138" t="e">
        <f>VLOOKUP(A138,[2]Sheet2!$A:$A,1,FALSE)</f>
        <v>#N/A</v>
      </c>
      <c r="E138" t="e">
        <f>VLOOKUP(A138,[3]cortex!$A:$A,1,FALSE)</f>
        <v>#N/A</v>
      </c>
      <c r="F138" t="e">
        <f>VLOOKUP(A138,[4]liver!$A:$A,1,FALSE)</f>
        <v>#N/A</v>
      </c>
      <c r="H138">
        <f t="shared" si="2"/>
        <v>0</v>
      </c>
    </row>
    <row r="139" spans="1:8" x14ac:dyDescent="0.2">
      <c r="A139" s="1" t="s">
        <v>71</v>
      </c>
      <c r="B139" t="e">
        <f>VLOOKUP(A139,'[1]Table S2'!$B$3:$B$509,1,FALSE)</f>
        <v>#N/A</v>
      </c>
      <c r="C139" t="e">
        <f>VLOOKUP(A139,'[1]Table S5'!$B$3:$B$641,1,FALSE)</f>
        <v>#N/A</v>
      </c>
      <c r="D139" t="e">
        <f>VLOOKUP(A139,[2]Sheet2!$A:$A,1,FALSE)</f>
        <v>#N/A</v>
      </c>
      <c r="E139" t="e">
        <f>VLOOKUP(A139,[3]cortex!$A:$A,1,FALSE)</f>
        <v>#N/A</v>
      </c>
      <c r="F139" t="e">
        <f>VLOOKUP(A139,[4]liver!$A:$A,1,FALSE)</f>
        <v>#N/A</v>
      </c>
      <c r="H139">
        <f t="shared" si="2"/>
        <v>0</v>
      </c>
    </row>
    <row r="140" spans="1:8" x14ac:dyDescent="0.2">
      <c r="A140" s="1" t="s">
        <v>72</v>
      </c>
      <c r="B140" t="e">
        <f>VLOOKUP(A140,'[1]Table S2'!$B$3:$B$509,1,FALSE)</f>
        <v>#N/A</v>
      </c>
      <c r="C140" t="e">
        <f>VLOOKUP(A140,'[1]Table S5'!$B$3:$B$641,1,FALSE)</f>
        <v>#N/A</v>
      </c>
      <c r="D140" t="e">
        <f>VLOOKUP(A140,[2]Sheet2!$A:$A,1,FALSE)</f>
        <v>#N/A</v>
      </c>
      <c r="E140" t="e">
        <f>VLOOKUP(A140,[3]cortex!$A:$A,1,FALSE)</f>
        <v>#N/A</v>
      </c>
      <c r="F140" t="e">
        <f>VLOOKUP(A140,[4]liver!$A:$A,1,FALSE)</f>
        <v>#N/A</v>
      </c>
      <c r="H140">
        <f t="shared" si="2"/>
        <v>0</v>
      </c>
    </row>
    <row r="141" spans="1:8" x14ac:dyDescent="0.2">
      <c r="A141" s="1" t="s">
        <v>73</v>
      </c>
      <c r="B141" t="e">
        <f>VLOOKUP(A141,'[1]Table S2'!$B$3:$B$509,1,FALSE)</f>
        <v>#N/A</v>
      </c>
      <c r="C141" t="e">
        <f>VLOOKUP(A141,'[1]Table S5'!$B$3:$B$641,1,FALSE)</f>
        <v>#N/A</v>
      </c>
      <c r="D141" t="e">
        <f>VLOOKUP(A141,[2]Sheet2!$A:$A,1,FALSE)</f>
        <v>#N/A</v>
      </c>
      <c r="E141" t="e">
        <f>VLOOKUP(A141,[3]cortex!$A:$A,1,FALSE)</f>
        <v>#N/A</v>
      </c>
      <c r="F141" t="e">
        <f>VLOOKUP(A141,[4]liver!$A:$A,1,FALSE)</f>
        <v>#N/A</v>
      </c>
      <c r="H141">
        <f t="shared" si="2"/>
        <v>0</v>
      </c>
    </row>
    <row r="142" spans="1:8" x14ac:dyDescent="0.2">
      <c r="A142" s="1" t="s">
        <v>74</v>
      </c>
      <c r="B142" t="e">
        <f>VLOOKUP(A142,'[1]Table S2'!$B$3:$B$509,1,FALSE)</f>
        <v>#N/A</v>
      </c>
      <c r="C142" t="e">
        <f>VLOOKUP(A142,'[1]Table S5'!$B$3:$B$641,1,FALSE)</f>
        <v>#N/A</v>
      </c>
      <c r="D142" t="e">
        <f>VLOOKUP(A142,[2]Sheet2!$A:$A,1,FALSE)</f>
        <v>#N/A</v>
      </c>
      <c r="E142" t="e">
        <f>VLOOKUP(A142,[3]cortex!$A:$A,1,FALSE)</f>
        <v>#N/A</v>
      </c>
      <c r="F142" t="e">
        <f>VLOOKUP(A142,[4]liver!$A:$A,1,FALSE)</f>
        <v>#N/A</v>
      </c>
      <c r="H142">
        <f t="shared" si="2"/>
        <v>0</v>
      </c>
    </row>
    <row r="143" spans="1:8" x14ac:dyDescent="0.2">
      <c r="A143" s="1" t="s">
        <v>75</v>
      </c>
      <c r="B143" t="e">
        <f>VLOOKUP(A143,'[1]Table S2'!$B$3:$B$509,1,FALSE)</f>
        <v>#N/A</v>
      </c>
      <c r="C143" t="e">
        <f>VLOOKUP(A143,'[1]Table S5'!$B$3:$B$641,1,FALSE)</f>
        <v>#N/A</v>
      </c>
      <c r="D143" t="e">
        <f>VLOOKUP(A143,[2]Sheet2!$A:$A,1,FALSE)</f>
        <v>#N/A</v>
      </c>
      <c r="E143" t="e">
        <f>VLOOKUP(A143,[3]cortex!$A:$A,1,FALSE)</f>
        <v>#N/A</v>
      </c>
      <c r="F143" t="e">
        <f>VLOOKUP(A143,[4]liver!$A:$A,1,FALSE)</f>
        <v>#N/A</v>
      </c>
      <c r="H143">
        <f t="shared" si="2"/>
        <v>0</v>
      </c>
    </row>
    <row r="144" spans="1:8" x14ac:dyDescent="0.2">
      <c r="A144" s="1" t="s">
        <v>77</v>
      </c>
      <c r="B144" t="e">
        <f>VLOOKUP(A144,'[1]Table S2'!$B$3:$B$509,1,FALSE)</f>
        <v>#N/A</v>
      </c>
      <c r="C144" t="e">
        <f>VLOOKUP(A144,'[1]Table S5'!$B$3:$B$641,1,FALSE)</f>
        <v>#N/A</v>
      </c>
      <c r="D144" t="e">
        <f>VLOOKUP(A144,[2]Sheet2!$A:$A,1,FALSE)</f>
        <v>#N/A</v>
      </c>
      <c r="E144" t="e">
        <f>VLOOKUP(A144,[3]cortex!$A:$A,1,FALSE)</f>
        <v>#N/A</v>
      </c>
      <c r="F144" t="e">
        <f>VLOOKUP(A144,[4]liver!$A:$A,1,FALSE)</f>
        <v>#N/A</v>
      </c>
      <c r="H144">
        <f t="shared" si="2"/>
        <v>0</v>
      </c>
    </row>
    <row r="145" spans="1:8" x14ac:dyDescent="0.2">
      <c r="A145" s="1" t="s">
        <v>78</v>
      </c>
      <c r="B145" t="e">
        <f>VLOOKUP(A145,'[1]Table S2'!$B$3:$B$509,1,FALSE)</f>
        <v>#N/A</v>
      </c>
      <c r="C145" t="e">
        <f>VLOOKUP(A145,'[1]Table S5'!$B$3:$B$641,1,FALSE)</f>
        <v>#N/A</v>
      </c>
      <c r="D145" t="e">
        <f>VLOOKUP(A145,[2]Sheet2!$A:$A,1,FALSE)</f>
        <v>#N/A</v>
      </c>
      <c r="E145" t="e">
        <f>VLOOKUP(A145,[3]cortex!$A:$A,1,FALSE)</f>
        <v>#N/A</v>
      </c>
      <c r="F145" t="e">
        <f>VLOOKUP(A145,[4]liver!$A:$A,1,FALSE)</f>
        <v>#N/A</v>
      </c>
      <c r="H145">
        <f t="shared" si="2"/>
        <v>0</v>
      </c>
    </row>
    <row r="146" spans="1:8" x14ac:dyDescent="0.2">
      <c r="A146" s="1" t="s">
        <v>79</v>
      </c>
      <c r="B146" t="e">
        <f>VLOOKUP(A146,'[1]Table S2'!$B$3:$B$509,1,FALSE)</f>
        <v>#N/A</v>
      </c>
      <c r="C146" t="e">
        <f>VLOOKUP(A146,'[1]Table S5'!$B$3:$B$641,1,FALSE)</f>
        <v>#N/A</v>
      </c>
      <c r="D146" t="e">
        <f>VLOOKUP(A146,[2]Sheet2!$A:$A,1,FALSE)</f>
        <v>#N/A</v>
      </c>
      <c r="E146" t="e">
        <f>VLOOKUP(A146,[3]cortex!$A:$A,1,FALSE)</f>
        <v>#N/A</v>
      </c>
      <c r="F146" t="e">
        <f>VLOOKUP(A146,[4]liver!$A:$A,1,FALSE)</f>
        <v>#N/A</v>
      </c>
      <c r="H146">
        <f t="shared" si="2"/>
        <v>0</v>
      </c>
    </row>
    <row r="147" spans="1:8" x14ac:dyDescent="0.2">
      <c r="A147" s="1" t="s">
        <v>80</v>
      </c>
      <c r="B147" t="e">
        <f>VLOOKUP(A147,'[1]Table S2'!$B$3:$B$509,1,FALSE)</f>
        <v>#N/A</v>
      </c>
      <c r="C147" t="e">
        <f>VLOOKUP(A147,'[1]Table S5'!$B$3:$B$641,1,FALSE)</f>
        <v>#N/A</v>
      </c>
      <c r="D147" t="e">
        <f>VLOOKUP(A147,[2]Sheet2!$A:$A,1,FALSE)</f>
        <v>#N/A</v>
      </c>
      <c r="E147" t="e">
        <f>VLOOKUP(A147,[3]cortex!$A:$A,1,FALSE)</f>
        <v>#N/A</v>
      </c>
      <c r="F147" t="e">
        <f>VLOOKUP(A147,[4]liver!$A:$A,1,FALSE)</f>
        <v>#N/A</v>
      </c>
      <c r="H147">
        <f t="shared" si="2"/>
        <v>0</v>
      </c>
    </row>
    <row r="148" spans="1:8" x14ac:dyDescent="0.2">
      <c r="A148" s="1" t="s">
        <v>81</v>
      </c>
      <c r="B148" t="e">
        <f>VLOOKUP(A148,'[1]Table S2'!$B$3:$B$509,1,FALSE)</f>
        <v>#N/A</v>
      </c>
      <c r="C148" t="e">
        <f>VLOOKUP(A148,'[1]Table S5'!$B$3:$B$641,1,FALSE)</f>
        <v>#N/A</v>
      </c>
      <c r="D148" t="e">
        <f>VLOOKUP(A148,[2]Sheet2!$A:$A,1,FALSE)</f>
        <v>#N/A</v>
      </c>
      <c r="E148" t="e">
        <f>VLOOKUP(A148,[3]cortex!$A:$A,1,FALSE)</f>
        <v>#N/A</v>
      </c>
      <c r="F148" t="e">
        <f>VLOOKUP(A148,[4]liver!$A:$A,1,FALSE)</f>
        <v>#N/A</v>
      </c>
      <c r="H148">
        <f t="shared" si="2"/>
        <v>0</v>
      </c>
    </row>
    <row r="149" spans="1:8" x14ac:dyDescent="0.2">
      <c r="A149" s="1" t="s">
        <v>82</v>
      </c>
      <c r="B149" t="e">
        <f>VLOOKUP(A149,'[1]Table S2'!$B$3:$B$509,1,FALSE)</f>
        <v>#N/A</v>
      </c>
      <c r="C149" t="e">
        <f>VLOOKUP(A149,'[1]Table S5'!$B$3:$B$641,1,FALSE)</f>
        <v>#N/A</v>
      </c>
      <c r="D149" t="e">
        <f>VLOOKUP(A149,[2]Sheet2!$A:$A,1,FALSE)</f>
        <v>#N/A</v>
      </c>
      <c r="E149" t="e">
        <f>VLOOKUP(A149,[3]cortex!$A:$A,1,FALSE)</f>
        <v>#N/A</v>
      </c>
      <c r="F149" t="e">
        <f>VLOOKUP(A149,[4]liver!$A:$A,1,FALSE)</f>
        <v>#N/A</v>
      </c>
      <c r="H149">
        <f t="shared" si="2"/>
        <v>0</v>
      </c>
    </row>
    <row r="150" spans="1:8" x14ac:dyDescent="0.2">
      <c r="A150" s="1" t="s">
        <v>83</v>
      </c>
      <c r="B150" t="e">
        <f>VLOOKUP(A150,'[1]Table S2'!$B$3:$B$509,1,FALSE)</f>
        <v>#N/A</v>
      </c>
      <c r="C150" t="e">
        <f>VLOOKUP(A150,'[1]Table S5'!$B$3:$B$641,1,FALSE)</f>
        <v>#N/A</v>
      </c>
      <c r="D150" t="e">
        <f>VLOOKUP(A150,[2]Sheet2!$A:$A,1,FALSE)</f>
        <v>#N/A</v>
      </c>
      <c r="E150" t="e">
        <f>VLOOKUP(A150,[3]cortex!$A:$A,1,FALSE)</f>
        <v>#N/A</v>
      </c>
      <c r="F150" t="e">
        <f>VLOOKUP(A150,[4]liver!$A:$A,1,FALSE)</f>
        <v>#N/A</v>
      </c>
      <c r="H150">
        <f t="shared" si="2"/>
        <v>0</v>
      </c>
    </row>
    <row r="151" spans="1:8" x14ac:dyDescent="0.2">
      <c r="A151" s="1" t="s">
        <v>84</v>
      </c>
      <c r="B151" t="e">
        <f>VLOOKUP(A151,'[1]Table S2'!$B$3:$B$509,1,FALSE)</f>
        <v>#N/A</v>
      </c>
      <c r="C151" t="e">
        <f>VLOOKUP(A151,'[1]Table S5'!$B$3:$B$641,1,FALSE)</f>
        <v>#N/A</v>
      </c>
      <c r="D151" t="e">
        <f>VLOOKUP(A151,[2]Sheet2!$A:$A,1,FALSE)</f>
        <v>#N/A</v>
      </c>
      <c r="E151" t="e">
        <f>VLOOKUP(A151,[3]cortex!$A:$A,1,FALSE)</f>
        <v>#N/A</v>
      </c>
      <c r="F151" t="e">
        <f>VLOOKUP(A151,[4]liver!$A:$A,1,FALSE)</f>
        <v>#N/A</v>
      </c>
      <c r="H151">
        <f t="shared" si="2"/>
        <v>0</v>
      </c>
    </row>
    <row r="152" spans="1:8" x14ac:dyDescent="0.2">
      <c r="A152" s="1" t="s">
        <v>85</v>
      </c>
      <c r="B152" t="e">
        <f>VLOOKUP(A152,'[1]Table S2'!$B$3:$B$509,1,FALSE)</f>
        <v>#N/A</v>
      </c>
      <c r="C152" t="e">
        <f>VLOOKUP(A152,'[1]Table S5'!$B$3:$B$641,1,FALSE)</f>
        <v>#N/A</v>
      </c>
      <c r="D152" t="e">
        <f>VLOOKUP(A152,[2]Sheet2!$A:$A,1,FALSE)</f>
        <v>#N/A</v>
      </c>
      <c r="E152" t="e">
        <f>VLOOKUP(A152,[3]cortex!$A:$A,1,FALSE)</f>
        <v>#N/A</v>
      </c>
      <c r="F152" t="e">
        <f>VLOOKUP(A152,[4]liver!$A:$A,1,FALSE)</f>
        <v>#N/A</v>
      </c>
      <c r="H152">
        <f t="shared" si="2"/>
        <v>0</v>
      </c>
    </row>
    <row r="153" spans="1:8" x14ac:dyDescent="0.2">
      <c r="A153" s="1" t="s">
        <v>86</v>
      </c>
      <c r="B153" t="e">
        <f>VLOOKUP(A153,'[1]Table S2'!$B$3:$B$509,1,FALSE)</f>
        <v>#N/A</v>
      </c>
      <c r="C153" t="e">
        <f>VLOOKUP(A153,'[1]Table S5'!$B$3:$B$641,1,FALSE)</f>
        <v>#N/A</v>
      </c>
      <c r="D153" t="e">
        <f>VLOOKUP(A153,[2]Sheet2!$A:$A,1,FALSE)</f>
        <v>#N/A</v>
      </c>
      <c r="E153" t="e">
        <f>VLOOKUP(A153,[3]cortex!$A:$A,1,FALSE)</f>
        <v>#N/A</v>
      </c>
      <c r="F153" t="e">
        <f>VLOOKUP(A153,[4]liver!$A:$A,1,FALSE)</f>
        <v>#N/A</v>
      </c>
      <c r="H153">
        <f t="shared" si="2"/>
        <v>0</v>
      </c>
    </row>
    <row r="154" spans="1:8" x14ac:dyDescent="0.2">
      <c r="A154" s="1" t="s">
        <v>87</v>
      </c>
      <c r="B154" t="e">
        <f>VLOOKUP(A154,'[1]Table S2'!$B$3:$B$509,1,FALSE)</f>
        <v>#N/A</v>
      </c>
      <c r="C154" t="e">
        <f>VLOOKUP(A154,'[1]Table S5'!$B$3:$B$641,1,FALSE)</f>
        <v>#N/A</v>
      </c>
      <c r="D154" t="e">
        <f>VLOOKUP(A154,[2]Sheet2!$A:$A,1,FALSE)</f>
        <v>#N/A</v>
      </c>
      <c r="E154" t="e">
        <f>VLOOKUP(A154,[3]cortex!$A:$A,1,FALSE)</f>
        <v>#N/A</v>
      </c>
      <c r="F154" t="e">
        <f>VLOOKUP(A154,[4]liver!$A:$A,1,FALSE)</f>
        <v>#N/A</v>
      </c>
      <c r="H154">
        <f t="shared" si="2"/>
        <v>0</v>
      </c>
    </row>
    <row r="155" spans="1:8" x14ac:dyDescent="0.2">
      <c r="A155" s="1" t="s">
        <v>88</v>
      </c>
      <c r="B155" t="e">
        <f>VLOOKUP(A155,'[1]Table S2'!$B$3:$B$509,1,FALSE)</f>
        <v>#N/A</v>
      </c>
      <c r="C155" t="e">
        <f>VLOOKUP(A155,'[1]Table S5'!$B$3:$B$641,1,FALSE)</f>
        <v>#N/A</v>
      </c>
      <c r="D155" t="e">
        <f>VLOOKUP(A155,[2]Sheet2!$A:$A,1,FALSE)</f>
        <v>#N/A</v>
      </c>
      <c r="E155" t="e">
        <f>VLOOKUP(A155,[3]cortex!$A:$A,1,FALSE)</f>
        <v>#N/A</v>
      </c>
      <c r="F155" t="e">
        <f>VLOOKUP(A155,[4]liver!$A:$A,1,FALSE)</f>
        <v>#N/A</v>
      </c>
      <c r="H155">
        <f t="shared" si="2"/>
        <v>0</v>
      </c>
    </row>
    <row r="156" spans="1:8" x14ac:dyDescent="0.2">
      <c r="A156" s="1" t="s">
        <v>89</v>
      </c>
      <c r="B156" t="e">
        <f>VLOOKUP(A156,'[1]Table S2'!$B$3:$B$509,1,FALSE)</f>
        <v>#N/A</v>
      </c>
      <c r="C156" t="e">
        <f>VLOOKUP(A156,'[1]Table S5'!$B$3:$B$641,1,FALSE)</f>
        <v>#N/A</v>
      </c>
      <c r="D156" t="e">
        <f>VLOOKUP(A156,[2]Sheet2!$A:$A,1,FALSE)</f>
        <v>#N/A</v>
      </c>
      <c r="E156" t="e">
        <f>VLOOKUP(A156,[3]cortex!$A:$A,1,FALSE)</f>
        <v>#N/A</v>
      </c>
      <c r="F156" t="e">
        <f>VLOOKUP(A156,[4]liver!$A:$A,1,FALSE)</f>
        <v>#N/A</v>
      </c>
      <c r="H156">
        <f t="shared" si="2"/>
        <v>0</v>
      </c>
    </row>
    <row r="157" spans="1:8" x14ac:dyDescent="0.2">
      <c r="A157" s="1" t="s">
        <v>91</v>
      </c>
      <c r="B157" t="e">
        <f>VLOOKUP(A157,'[1]Table S2'!$B$3:$B$509,1,FALSE)</f>
        <v>#N/A</v>
      </c>
      <c r="C157" t="e">
        <f>VLOOKUP(A157,'[1]Table S5'!$B$3:$B$641,1,FALSE)</f>
        <v>#N/A</v>
      </c>
      <c r="D157" t="e">
        <f>VLOOKUP(A157,[2]Sheet2!$A:$A,1,FALSE)</f>
        <v>#N/A</v>
      </c>
      <c r="E157" t="e">
        <f>VLOOKUP(A157,[3]cortex!$A:$A,1,FALSE)</f>
        <v>#N/A</v>
      </c>
      <c r="F157" t="e">
        <f>VLOOKUP(A157,[4]liver!$A:$A,1,FALSE)</f>
        <v>#N/A</v>
      </c>
      <c r="H157">
        <f t="shared" si="2"/>
        <v>0</v>
      </c>
    </row>
    <row r="158" spans="1:8" x14ac:dyDescent="0.2">
      <c r="A158" s="1" t="s">
        <v>92</v>
      </c>
      <c r="B158" t="e">
        <f>VLOOKUP(A158,'[1]Table S2'!$B$3:$B$509,1,FALSE)</f>
        <v>#N/A</v>
      </c>
      <c r="C158" t="e">
        <f>VLOOKUP(A158,'[1]Table S5'!$B$3:$B$641,1,FALSE)</f>
        <v>#N/A</v>
      </c>
      <c r="D158" t="e">
        <f>VLOOKUP(A158,[2]Sheet2!$A:$A,1,FALSE)</f>
        <v>#N/A</v>
      </c>
      <c r="E158" t="e">
        <f>VLOOKUP(A158,[3]cortex!$A:$A,1,FALSE)</f>
        <v>#N/A</v>
      </c>
      <c r="F158" t="e">
        <f>VLOOKUP(A158,[4]liver!$A:$A,1,FALSE)</f>
        <v>#N/A</v>
      </c>
      <c r="H158">
        <f t="shared" si="2"/>
        <v>0</v>
      </c>
    </row>
    <row r="159" spans="1:8" x14ac:dyDescent="0.2">
      <c r="A159" s="1" t="s">
        <v>93</v>
      </c>
      <c r="B159" t="e">
        <f>VLOOKUP(A159,'[1]Table S2'!$B$3:$B$509,1,FALSE)</f>
        <v>#N/A</v>
      </c>
      <c r="C159" t="e">
        <f>VLOOKUP(A159,'[1]Table S5'!$B$3:$B$641,1,FALSE)</f>
        <v>#N/A</v>
      </c>
      <c r="D159" t="e">
        <f>VLOOKUP(A159,[2]Sheet2!$A:$A,1,FALSE)</f>
        <v>#N/A</v>
      </c>
      <c r="E159" t="e">
        <f>VLOOKUP(A159,[3]cortex!$A:$A,1,FALSE)</f>
        <v>#N/A</v>
      </c>
      <c r="F159" t="e">
        <f>VLOOKUP(A159,[4]liver!$A:$A,1,FALSE)</f>
        <v>#N/A</v>
      </c>
      <c r="H159">
        <f t="shared" si="2"/>
        <v>0</v>
      </c>
    </row>
    <row r="160" spans="1:8" x14ac:dyDescent="0.2">
      <c r="A160" s="1" t="s">
        <v>94</v>
      </c>
      <c r="B160" t="e">
        <f>VLOOKUP(A160,'[1]Table S2'!$B$3:$B$509,1,FALSE)</f>
        <v>#N/A</v>
      </c>
      <c r="C160" t="e">
        <f>VLOOKUP(A160,'[1]Table S5'!$B$3:$B$641,1,FALSE)</f>
        <v>#N/A</v>
      </c>
      <c r="D160" t="e">
        <f>VLOOKUP(A160,[2]Sheet2!$A:$A,1,FALSE)</f>
        <v>#N/A</v>
      </c>
      <c r="E160" t="e">
        <f>VLOOKUP(A160,[3]cortex!$A:$A,1,FALSE)</f>
        <v>#N/A</v>
      </c>
      <c r="F160" t="e">
        <f>VLOOKUP(A160,[4]liver!$A:$A,1,FALSE)</f>
        <v>#N/A</v>
      </c>
      <c r="H160">
        <f t="shared" si="2"/>
        <v>0</v>
      </c>
    </row>
    <row r="161" spans="1:8" x14ac:dyDescent="0.2">
      <c r="A161" s="1" t="s">
        <v>95</v>
      </c>
      <c r="B161" t="e">
        <f>VLOOKUP(A161,'[1]Table S2'!$B$3:$B$509,1,FALSE)</f>
        <v>#N/A</v>
      </c>
      <c r="C161" t="e">
        <f>VLOOKUP(A161,'[1]Table S5'!$B$3:$B$641,1,FALSE)</f>
        <v>#N/A</v>
      </c>
      <c r="D161" t="e">
        <f>VLOOKUP(A161,[2]Sheet2!$A:$A,1,FALSE)</f>
        <v>#N/A</v>
      </c>
      <c r="E161" t="e">
        <f>VLOOKUP(A161,[3]cortex!$A:$A,1,FALSE)</f>
        <v>#N/A</v>
      </c>
      <c r="F161" t="e">
        <f>VLOOKUP(A161,[4]liver!$A:$A,1,FALSE)</f>
        <v>#N/A</v>
      </c>
      <c r="H161">
        <f t="shared" si="2"/>
        <v>0</v>
      </c>
    </row>
    <row r="162" spans="1:8" x14ac:dyDescent="0.2">
      <c r="A162" s="1" t="s">
        <v>96</v>
      </c>
      <c r="B162" t="e">
        <f>VLOOKUP(A162,'[1]Table S2'!$B$3:$B$509,1,FALSE)</f>
        <v>#N/A</v>
      </c>
      <c r="C162" t="e">
        <f>VLOOKUP(A162,'[1]Table S5'!$B$3:$B$641,1,FALSE)</f>
        <v>#N/A</v>
      </c>
      <c r="D162" t="e">
        <f>VLOOKUP(A162,[2]Sheet2!$A:$A,1,FALSE)</f>
        <v>#N/A</v>
      </c>
      <c r="E162" t="e">
        <f>VLOOKUP(A162,[3]cortex!$A:$A,1,FALSE)</f>
        <v>#N/A</v>
      </c>
      <c r="F162" t="e">
        <f>VLOOKUP(A162,[4]liver!$A:$A,1,FALSE)</f>
        <v>#N/A</v>
      </c>
      <c r="H162">
        <f t="shared" si="2"/>
        <v>0</v>
      </c>
    </row>
    <row r="163" spans="1:8" x14ac:dyDescent="0.2">
      <c r="A163" s="1" t="s">
        <v>97</v>
      </c>
      <c r="B163" t="e">
        <f>VLOOKUP(A163,'[1]Table S2'!$B$3:$B$509,1,FALSE)</f>
        <v>#N/A</v>
      </c>
      <c r="C163" t="e">
        <f>VLOOKUP(A163,'[1]Table S5'!$B$3:$B$641,1,FALSE)</f>
        <v>#N/A</v>
      </c>
      <c r="D163" t="e">
        <f>VLOOKUP(A163,[2]Sheet2!$A:$A,1,FALSE)</f>
        <v>#N/A</v>
      </c>
      <c r="E163" t="e">
        <f>VLOOKUP(A163,[3]cortex!$A:$A,1,FALSE)</f>
        <v>#N/A</v>
      </c>
      <c r="F163" t="e">
        <f>VLOOKUP(A163,[4]liver!$A:$A,1,FALSE)</f>
        <v>#N/A</v>
      </c>
      <c r="H163">
        <f t="shared" si="2"/>
        <v>0</v>
      </c>
    </row>
    <row r="164" spans="1:8" x14ac:dyDescent="0.2">
      <c r="A164" s="1" t="s">
        <v>98</v>
      </c>
      <c r="B164" t="e">
        <f>VLOOKUP(A164,'[1]Table S2'!$B$3:$B$509,1,FALSE)</f>
        <v>#N/A</v>
      </c>
      <c r="C164" t="e">
        <f>VLOOKUP(A164,'[1]Table S5'!$B$3:$B$641,1,FALSE)</f>
        <v>#N/A</v>
      </c>
      <c r="D164" t="e">
        <f>VLOOKUP(A164,[2]Sheet2!$A:$A,1,FALSE)</f>
        <v>#N/A</v>
      </c>
      <c r="E164" t="e">
        <f>VLOOKUP(A164,[3]cortex!$A:$A,1,FALSE)</f>
        <v>#N/A</v>
      </c>
      <c r="F164" t="e">
        <f>VLOOKUP(A164,[4]liver!$A:$A,1,FALSE)</f>
        <v>#N/A</v>
      </c>
      <c r="H164">
        <f t="shared" si="2"/>
        <v>0</v>
      </c>
    </row>
    <row r="165" spans="1:8" x14ac:dyDescent="0.2">
      <c r="A165" s="1" t="s">
        <v>100</v>
      </c>
      <c r="B165" t="e">
        <f>VLOOKUP(A165,'[1]Table S2'!$B$3:$B$509,1,FALSE)</f>
        <v>#N/A</v>
      </c>
      <c r="C165" t="e">
        <f>VLOOKUP(A165,'[1]Table S5'!$B$3:$B$641,1,FALSE)</f>
        <v>#N/A</v>
      </c>
      <c r="D165" t="e">
        <f>VLOOKUP(A165,[2]Sheet2!$A:$A,1,FALSE)</f>
        <v>#N/A</v>
      </c>
      <c r="E165" t="e">
        <f>VLOOKUP(A165,[3]cortex!$A:$A,1,FALSE)</f>
        <v>#N/A</v>
      </c>
      <c r="F165" t="e">
        <f>VLOOKUP(A165,[4]liver!$A:$A,1,FALSE)</f>
        <v>#N/A</v>
      </c>
      <c r="H165">
        <f t="shared" si="2"/>
        <v>0</v>
      </c>
    </row>
    <row r="166" spans="1:8" x14ac:dyDescent="0.2">
      <c r="A166" s="1" t="s">
        <v>101</v>
      </c>
      <c r="B166" t="e">
        <f>VLOOKUP(A166,'[1]Table S2'!$B$3:$B$509,1,FALSE)</f>
        <v>#N/A</v>
      </c>
      <c r="C166" t="e">
        <f>VLOOKUP(A166,'[1]Table S5'!$B$3:$B$641,1,FALSE)</f>
        <v>#N/A</v>
      </c>
      <c r="D166" t="e">
        <f>VLOOKUP(A166,[2]Sheet2!$A:$A,1,FALSE)</f>
        <v>#N/A</v>
      </c>
      <c r="E166" t="e">
        <f>VLOOKUP(A166,[3]cortex!$A:$A,1,FALSE)</f>
        <v>#N/A</v>
      </c>
      <c r="F166" t="e">
        <f>VLOOKUP(A166,[4]liver!$A:$A,1,FALSE)</f>
        <v>#N/A</v>
      </c>
      <c r="H166">
        <f t="shared" si="2"/>
        <v>0</v>
      </c>
    </row>
    <row r="167" spans="1:8" x14ac:dyDescent="0.2">
      <c r="A167" s="1" t="s">
        <v>102</v>
      </c>
      <c r="B167" t="e">
        <f>VLOOKUP(A167,'[1]Table S2'!$B$3:$B$509,1,FALSE)</f>
        <v>#N/A</v>
      </c>
      <c r="C167" t="e">
        <f>VLOOKUP(A167,'[1]Table S5'!$B$3:$B$641,1,FALSE)</f>
        <v>#N/A</v>
      </c>
      <c r="D167" t="e">
        <f>VLOOKUP(A167,[2]Sheet2!$A:$A,1,FALSE)</f>
        <v>#N/A</v>
      </c>
      <c r="E167" t="e">
        <f>VLOOKUP(A167,[3]cortex!$A:$A,1,FALSE)</f>
        <v>#N/A</v>
      </c>
      <c r="F167" t="e">
        <f>VLOOKUP(A167,[4]liver!$A:$A,1,FALSE)</f>
        <v>#N/A</v>
      </c>
      <c r="H167">
        <f t="shared" si="2"/>
        <v>0</v>
      </c>
    </row>
    <row r="168" spans="1:8" x14ac:dyDescent="0.2">
      <c r="A168" s="1" t="s">
        <v>103</v>
      </c>
      <c r="B168" t="e">
        <f>VLOOKUP(A168,'[1]Table S2'!$B$3:$B$509,1,FALSE)</f>
        <v>#N/A</v>
      </c>
      <c r="C168" t="e">
        <f>VLOOKUP(A168,'[1]Table S5'!$B$3:$B$641,1,FALSE)</f>
        <v>#N/A</v>
      </c>
      <c r="D168" t="e">
        <f>VLOOKUP(A168,[2]Sheet2!$A:$A,1,FALSE)</f>
        <v>#N/A</v>
      </c>
      <c r="E168" t="e">
        <f>VLOOKUP(A168,[3]cortex!$A:$A,1,FALSE)</f>
        <v>#N/A</v>
      </c>
      <c r="F168" t="e">
        <f>VLOOKUP(A168,[4]liver!$A:$A,1,FALSE)</f>
        <v>#N/A</v>
      </c>
      <c r="H168">
        <f t="shared" si="2"/>
        <v>0</v>
      </c>
    </row>
    <row r="169" spans="1:8" x14ac:dyDescent="0.2">
      <c r="A169" s="1" t="s">
        <v>104</v>
      </c>
      <c r="B169" t="e">
        <f>VLOOKUP(A169,'[1]Table S2'!$B$3:$B$509,1,FALSE)</f>
        <v>#N/A</v>
      </c>
      <c r="C169" t="e">
        <f>VLOOKUP(A169,'[1]Table S5'!$B$3:$B$641,1,FALSE)</f>
        <v>#N/A</v>
      </c>
      <c r="D169" t="e">
        <f>VLOOKUP(A169,[2]Sheet2!$A:$A,1,FALSE)</f>
        <v>#N/A</v>
      </c>
      <c r="E169" t="e">
        <f>VLOOKUP(A169,[3]cortex!$A:$A,1,FALSE)</f>
        <v>#N/A</v>
      </c>
      <c r="F169" t="e">
        <f>VLOOKUP(A169,[4]liver!$A:$A,1,FALSE)</f>
        <v>#N/A</v>
      </c>
      <c r="H169">
        <f t="shared" si="2"/>
        <v>0</v>
      </c>
    </row>
    <row r="170" spans="1:8" x14ac:dyDescent="0.2">
      <c r="A170" s="1" t="s">
        <v>105</v>
      </c>
      <c r="B170" t="e">
        <f>VLOOKUP(A170,'[1]Table S2'!$B$3:$B$509,1,FALSE)</f>
        <v>#N/A</v>
      </c>
      <c r="C170" t="e">
        <f>VLOOKUP(A170,'[1]Table S5'!$B$3:$B$641,1,FALSE)</f>
        <v>#N/A</v>
      </c>
      <c r="D170" t="e">
        <f>VLOOKUP(A170,[2]Sheet2!$A:$A,1,FALSE)</f>
        <v>#N/A</v>
      </c>
      <c r="E170" t="e">
        <f>VLOOKUP(A170,[3]cortex!$A:$A,1,FALSE)</f>
        <v>#N/A</v>
      </c>
      <c r="F170" t="e">
        <f>VLOOKUP(A170,[4]liver!$A:$A,1,FALSE)</f>
        <v>#N/A</v>
      </c>
      <c r="H170">
        <f t="shared" si="2"/>
        <v>0</v>
      </c>
    </row>
    <row r="171" spans="1:8" x14ac:dyDescent="0.2">
      <c r="A171" s="1" t="s">
        <v>106</v>
      </c>
      <c r="B171" t="e">
        <f>VLOOKUP(A171,'[1]Table S2'!$B$3:$B$509,1,FALSE)</f>
        <v>#N/A</v>
      </c>
      <c r="C171" t="e">
        <f>VLOOKUP(A171,'[1]Table S5'!$B$3:$B$641,1,FALSE)</f>
        <v>#N/A</v>
      </c>
      <c r="D171" t="e">
        <f>VLOOKUP(A171,[2]Sheet2!$A:$A,1,FALSE)</f>
        <v>#N/A</v>
      </c>
      <c r="E171" t="e">
        <f>VLOOKUP(A171,[3]cortex!$A:$A,1,FALSE)</f>
        <v>#N/A</v>
      </c>
      <c r="F171" t="e">
        <f>VLOOKUP(A171,[4]liver!$A:$A,1,FALSE)</f>
        <v>#N/A</v>
      </c>
      <c r="H171">
        <f t="shared" si="2"/>
        <v>0</v>
      </c>
    </row>
    <row r="172" spans="1:8" x14ac:dyDescent="0.2">
      <c r="A172" s="1" t="s">
        <v>107</v>
      </c>
      <c r="B172" t="e">
        <f>VLOOKUP(A172,'[1]Table S2'!$B$3:$B$509,1,FALSE)</f>
        <v>#N/A</v>
      </c>
      <c r="C172" t="e">
        <f>VLOOKUP(A172,'[1]Table S5'!$B$3:$B$641,1,FALSE)</f>
        <v>#N/A</v>
      </c>
      <c r="D172" t="e">
        <f>VLOOKUP(A172,[2]Sheet2!$A:$A,1,FALSE)</f>
        <v>#N/A</v>
      </c>
      <c r="E172" t="e">
        <f>VLOOKUP(A172,[3]cortex!$A:$A,1,FALSE)</f>
        <v>#N/A</v>
      </c>
      <c r="F172" t="e">
        <f>VLOOKUP(A172,[4]liver!$A:$A,1,FALSE)</f>
        <v>#N/A</v>
      </c>
      <c r="H172">
        <f t="shared" si="2"/>
        <v>0</v>
      </c>
    </row>
    <row r="173" spans="1:8" x14ac:dyDescent="0.2">
      <c r="A173" s="1" t="s">
        <v>108</v>
      </c>
      <c r="B173" t="e">
        <f>VLOOKUP(A173,'[1]Table S2'!$B$3:$B$509,1,FALSE)</f>
        <v>#N/A</v>
      </c>
      <c r="C173" t="e">
        <f>VLOOKUP(A173,'[1]Table S5'!$B$3:$B$641,1,FALSE)</f>
        <v>#N/A</v>
      </c>
      <c r="D173" t="e">
        <f>VLOOKUP(A173,[2]Sheet2!$A:$A,1,FALSE)</f>
        <v>#N/A</v>
      </c>
      <c r="E173" t="e">
        <f>VLOOKUP(A173,[3]cortex!$A:$A,1,FALSE)</f>
        <v>#N/A</v>
      </c>
      <c r="F173" t="e">
        <f>VLOOKUP(A173,[4]liver!$A:$A,1,FALSE)</f>
        <v>#N/A</v>
      </c>
      <c r="H173">
        <f t="shared" si="2"/>
        <v>0</v>
      </c>
    </row>
    <row r="174" spans="1:8" x14ac:dyDescent="0.2">
      <c r="A174" s="1" t="s">
        <v>109</v>
      </c>
      <c r="B174" t="e">
        <f>VLOOKUP(A174,'[1]Table S2'!$B$3:$B$509,1,FALSE)</f>
        <v>#N/A</v>
      </c>
      <c r="C174" t="e">
        <f>VLOOKUP(A174,'[1]Table S5'!$B$3:$B$641,1,FALSE)</f>
        <v>#N/A</v>
      </c>
      <c r="D174" t="e">
        <f>VLOOKUP(A174,[2]Sheet2!$A:$A,1,FALSE)</f>
        <v>#N/A</v>
      </c>
      <c r="E174" t="e">
        <f>VLOOKUP(A174,[3]cortex!$A:$A,1,FALSE)</f>
        <v>#N/A</v>
      </c>
      <c r="F174" t="e">
        <f>VLOOKUP(A174,[4]liver!$A:$A,1,FALSE)</f>
        <v>#N/A</v>
      </c>
      <c r="H174">
        <f t="shared" si="2"/>
        <v>0</v>
      </c>
    </row>
    <row r="175" spans="1:8" x14ac:dyDescent="0.2">
      <c r="A175" s="1" t="s">
        <v>110</v>
      </c>
      <c r="B175" t="e">
        <f>VLOOKUP(A175,'[1]Table S2'!$B$3:$B$509,1,FALSE)</f>
        <v>#N/A</v>
      </c>
      <c r="C175" t="e">
        <f>VLOOKUP(A175,'[1]Table S5'!$B$3:$B$641,1,FALSE)</f>
        <v>#N/A</v>
      </c>
      <c r="D175" t="e">
        <f>VLOOKUP(A175,[2]Sheet2!$A:$A,1,FALSE)</f>
        <v>#N/A</v>
      </c>
      <c r="E175" t="e">
        <f>VLOOKUP(A175,[3]cortex!$A:$A,1,FALSE)</f>
        <v>#N/A</v>
      </c>
      <c r="F175" t="e">
        <f>VLOOKUP(A175,[4]liver!$A:$A,1,FALSE)</f>
        <v>#N/A</v>
      </c>
      <c r="H175">
        <f t="shared" si="2"/>
        <v>0</v>
      </c>
    </row>
    <row r="176" spans="1:8" x14ac:dyDescent="0.2">
      <c r="A176" s="1" t="s">
        <v>111</v>
      </c>
      <c r="B176" t="e">
        <f>VLOOKUP(A176,'[1]Table S2'!$B$3:$B$509,1,FALSE)</f>
        <v>#N/A</v>
      </c>
      <c r="C176" t="e">
        <f>VLOOKUP(A176,'[1]Table S5'!$B$3:$B$641,1,FALSE)</f>
        <v>#N/A</v>
      </c>
      <c r="D176" t="e">
        <f>VLOOKUP(A176,[2]Sheet2!$A:$A,1,FALSE)</f>
        <v>#N/A</v>
      </c>
      <c r="E176" t="e">
        <f>VLOOKUP(A176,[3]cortex!$A:$A,1,FALSE)</f>
        <v>#N/A</v>
      </c>
      <c r="F176" t="e">
        <f>VLOOKUP(A176,[4]liver!$A:$A,1,FALSE)</f>
        <v>#N/A</v>
      </c>
      <c r="H176">
        <f t="shared" si="2"/>
        <v>0</v>
      </c>
    </row>
    <row r="177" spans="1:8" x14ac:dyDescent="0.2">
      <c r="A177" s="1" t="s">
        <v>112</v>
      </c>
      <c r="B177" t="e">
        <f>VLOOKUP(A177,'[1]Table S2'!$B$3:$B$509,1,FALSE)</f>
        <v>#N/A</v>
      </c>
      <c r="C177" t="e">
        <f>VLOOKUP(A177,'[1]Table S5'!$B$3:$B$641,1,FALSE)</f>
        <v>#N/A</v>
      </c>
      <c r="D177" t="e">
        <f>VLOOKUP(A177,[2]Sheet2!$A:$A,1,FALSE)</f>
        <v>#N/A</v>
      </c>
      <c r="E177" t="e">
        <f>VLOOKUP(A177,[3]cortex!$A:$A,1,FALSE)</f>
        <v>#N/A</v>
      </c>
      <c r="F177" t="e">
        <f>VLOOKUP(A177,[4]liver!$A:$A,1,FALSE)</f>
        <v>#N/A</v>
      </c>
      <c r="H177">
        <f t="shared" si="2"/>
        <v>0</v>
      </c>
    </row>
    <row r="178" spans="1:8" x14ac:dyDescent="0.2">
      <c r="A178" s="1" t="s">
        <v>113</v>
      </c>
      <c r="B178" t="e">
        <f>VLOOKUP(A178,'[1]Table S2'!$B$3:$B$509,1,FALSE)</f>
        <v>#N/A</v>
      </c>
      <c r="C178" t="e">
        <f>VLOOKUP(A178,'[1]Table S5'!$B$3:$B$641,1,FALSE)</f>
        <v>#N/A</v>
      </c>
      <c r="D178" t="e">
        <f>VLOOKUP(A178,[2]Sheet2!$A:$A,1,FALSE)</f>
        <v>#N/A</v>
      </c>
      <c r="E178" t="e">
        <f>VLOOKUP(A178,[3]cortex!$A:$A,1,FALSE)</f>
        <v>#N/A</v>
      </c>
      <c r="F178" t="e">
        <f>VLOOKUP(A178,[4]liver!$A:$A,1,FALSE)</f>
        <v>#N/A</v>
      </c>
      <c r="H178">
        <f t="shared" si="2"/>
        <v>0</v>
      </c>
    </row>
    <row r="179" spans="1:8" x14ac:dyDescent="0.2">
      <c r="A179" s="1" t="s">
        <v>114</v>
      </c>
      <c r="B179" t="e">
        <f>VLOOKUP(A179,'[1]Table S2'!$B$3:$B$509,1,FALSE)</f>
        <v>#N/A</v>
      </c>
      <c r="C179" t="e">
        <f>VLOOKUP(A179,'[1]Table S5'!$B$3:$B$641,1,FALSE)</f>
        <v>#N/A</v>
      </c>
      <c r="D179" t="e">
        <f>VLOOKUP(A179,[2]Sheet2!$A:$A,1,FALSE)</f>
        <v>#N/A</v>
      </c>
      <c r="E179" t="e">
        <f>VLOOKUP(A179,[3]cortex!$A:$A,1,FALSE)</f>
        <v>#N/A</v>
      </c>
      <c r="F179" t="e">
        <f>VLOOKUP(A179,[4]liver!$A:$A,1,FALSE)</f>
        <v>#N/A</v>
      </c>
      <c r="H179">
        <f t="shared" si="2"/>
        <v>0</v>
      </c>
    </row>
    <row r="180" spans="1:8" x14ac:dyDescent="0.2">
      <c r="A180" s="1" t="s">
        <v>115</v>
      </c>
      <c r="B180" t="e">
        <f>VLOOKUP(A180,'[1]Table S2'!$B$3:$B$509,1,FALSE)</f>
        <v>#N/A</v>
      </c>
      <c r="C180" t="e">
        <f>VLOOKUP(A180,'[1]Table S5'!$B$3:$B$641,1,FALSE)</f>
        <v>#N/A</v>
      </c>
      <c r="D180" t="e">
        <f>VLOOKUP(A180,[2]Sheet2!$A:$A,1,FALSE)</f>
        <v>#N/A</v>
      </c>
      <c r="E180" t="e">
        <f>VLOOKUP(A180,[3]cortex!$A:$A,1,FALSE)</f>
        <v>#N/A</v>
      </c>
      <c r="F180" t="e">
        <f>VLOOKUP(A180,[4]liver!$A:$A,1,FALSE)</f>
        <v>#N/A</v>
      </c>
      <c r="H180">
        <f t="shared" si="2"/>
        <v>0</v>
      </c>
    </row>
    <row r="181" spans="1:8" x14ac:dyDescent="0.2">
      <c r="A181" s="1" t="s">
        <v>117</v>
      </c>
      <c r="B181" t="e">
        <f>VLOOKUP(A181,'[1]Table S2'!$B$3:$B$509,1,FALSE)</f>
        <v>#N/A</v>
      </c>
      <c r="C181" t="e">
        <f>VLOOKUP(A181,'[1]Table S5'!$B$3:$B$641,1,FALSE)</f>
        <v>#N/A</v>
      </c>
      <c r="D181" t="e">
        <f>VLOOKUP(A181,[2]Sheet2!$A:$A,1,FALSE)</f>
        <v>#N/A</v>
      </c>
      <c r="E181" t="e">
        <f>VLOOKUP(A181,[3]cortex!$A:$A,1,FALSE)</f>
        <v>#N/A</v>
      </c>
      <c r="F181" t="e">
        <f>VLOOKUP(A181,[4]liver!$A:$A,1,FALSE)</f>
        <v>#N/A</v>
      </c>
      <c r="H181">
        <f t="shared" si="2"/>
        <v>0</v>
      </c>
    </row>
    <row r="182" spans="1:8" x14ac:dyDescent="0.2">
      <c r="A182" s="1" t="s">
        <v>118</v>
      </c>
      <c r="B182" t="e">
        <f>VLOOKUP(A182,'[1]Table S2'!$B$3:$B$509,1,FALSE)</f>
        <v>#N/A</v>
      </c>
      <c r="C182" t="e">
        <f>VLOOKUP(A182,'[1]Table S5'!$B$3:$B$641,1,FALSE)</f>
        <v>#N/A</v>
      </c>
      <c r="D182" t="e">
        <f>VLOOKUP(A182,[2]Sheet2!$A:$A,1,FALSE)</f>
        <v>#N/A</v>
      </c>
      <c r="E182" t="e">
        <f>VLOOKUP(A182,[3]cortex!$A:$A,1,FALSE)</f>
        <v>#N/A</v>
      </c>
      <c r="F182" t="e">
        <f>VLOOKUP(A182,[4]liver!$A:$A,1,FALSE)</f>
        <v>#N/A</v>
      </c>
      <c r="H182">
        <f t="shared" si="2"/>
        <v>0</v>
      </c>
    </row>
    <row r="183" spans="1:8" x14ac:dyDescent="0.2">
      <c r="A183" s="1" t="s">
        <v>119</v>
      </c>
      <c r="B183" t="e">
        <f>VLOOKUP(A183,'[1]Table S2'!$B$3:$B$509,1,FALSE)</f>
        <v>#N/A</v>
      </c>
      <c r="C183" t="e">
        <f>VLOOKUP(A183,'[1]Table S5'!$B$3:$B$641,1,FALSE)</f>
        <v>#N/A</v>
      </c>
      <c r="D183" t="e">
        <f>VLOOKUP(A183,[2]Sheet2!$A:$A,1,FALSE)</f>
        <v>#N/A</v>
      </c>
      <c r="E183" t="e">
        <f>VLOOKUP(A183,[3]cortex!$A:$A,1,FALSE)</f>
        <v>#N/A</v>
      </c>
      <c r="F183" t="e">
        <f>VLOOKUP(A183,[4]liver!$A:$A,1,FALSE)</f>
        <v>#N/A</v>
      </c>
      <c r="H183">
        <f t="shared" si="2"/>
        <v>0</v>
      </c>
    </row>
    <row r="184" spans="1:8" x14ac:dyDescent="0.2">
      <c r="A184" s="1" t="s">
        <v>120</v>
      </c>
      <c r="B184" t="e">
        <f>VLOOKUP(A184,'[1]Table S2'!$B$3:$B$509,1,FALSE)</f>
        <v>#N/A</v>
      </c>
      <c r="C184" t="e">
        <f>VLOOKUP(A184,'[1]Table S5'!$B$3:$B$641,1,FALSE)</f>
        <v>#N/A</v>
      </c>
      <c r="D184" t="e">
        <f>VLOOKUP(A184,[2]Sheet2!$A:$A,1,FALSE)</f>
        <v>#N/A</v>
      </c>
      <c r="E184" t="e">
        <f>VLOOKUP(A184,[3]cortex!$A:$A,1,FALSE)</f>
        <v>#N/A</v>
      </c>
      <c r="F184" t="e">
        <f>VLOOKUP(A184,[4]liver!$A:$A,1,FALSE)</f>
        <v>#N/A</v>
      </c>
      <c r="H184">
        <f t="shared" si="2"/>
        <v>0</v>
      </c>
    </row>
    <row r="185" spans="1:8" x14ac:dyDescent="0.2">
      <c r="A185" s="1" t="s">
        <v>121</v>
      </c>
      <c r="B185" t="e">
        <f>VLOOKUP(A185,'[1]Table S2'!$B$3:$B$509,1,FALSE)</f>
        <v>#N/A</v>
      </c>
      <c r="C185" t="e">
        <f>VLOOKUP(A185,'[1]Table S5'!$B$3:$B$641,1,FALSE)</f>
        <v>#N/A</v>
      </c>
      <c r="D185" t="e">
        <f>VLOOKUP(A185,[2]Sheet2!$A:$A,1,FALSE)</f>
        <v>#N/A</v>
      </c>
      <c r="E185" t="e">
        <f>VLOOKUP(A185,[3]cortex!$A:$A,1,FALSE)</f>
        <v>#N/A</v>
      </c>
      <c r="F185" t="e">
        <f>VLOOKUP(A185,[4]liver!$A:$A,1,FALSE)</f>
        <v>#N/A</v>
      </c>
      <c r="H185">
        <f t="shared" si="2"/>
        <v>0</v>
      </c>
    </row>
    <row r="186" spans="1:8" x14ac:dyDescent="0.2">
      <c r="A186" s="1" t="s">
        <v>122</v>
      </c>
      <c r="B186" t="e">
        <f>VLOOKUP(A186,'[1]Table S2'!$B$3:$B$509,1,FALSE)</f>
        <v>#N/A</v>
      </c>
      <c r="C186" t="e">
        <f>VLOOKUP(A186,'[1]Table S5'!$B$3:$B$641,1,FALSE)</f>
        <v>#N/A</v>
      </c>
      <c r="D186" t="e">
        <f>VLOOKUP(A186,[2]Sheet2!$A:$A,1,FALSE)</f>
        <v>#N/A</v>
      </c>
      <c r="E186" t="e">
        <f>VLOOKUP(A186,[3]cortex!$A:$A,1,FALSE)</f>
        <v>#N/A</v>
      </c>
      <c r="F186" t="e">
        <f>VLOOKUP(A186,[4]liver!$A:$A,1,FALSE)</f>
        <v>#N/A</v>
      </c>
      <c r="H186">
        <f t="shared" si="2"/>
        <v>0</v>
      </c>
    </row>
    <row r="187" spans="1:8" x14ac:dyDescent="0.2">
      <c r="A187" s="1" t="s">
        <v>123</v>
      </c>
      <c r="B187" t="e">
        <f>VLOOKUP(A187,'[1]Table S2'!$B$3:$B$509,1,FALSE)</f>
        <v>#N/A</v>
      </c>
      <c r="C187" t="e">
        <f>VLOOKUP(A187,'[1]Table S5'!$B$3:$B$641,1,FALSE)</f>
        <v>#N/A</v>
      </c>
      <c r="D187" t="e">
        <f>VLOOKUP(A187,[2]Sheet2!$A:$A,1,FALSE)</f>
        <v>#N/A</v>
      </c>
      <c r="E187" t="e">
        <f>VLOOKUP(A187,[3]cortex!$A:$A,1,FALSE)</f>
        <v>#N/A</v>
      </c>
      <c r="F187" t="e">
        <f>VLOOKUP(A187,[4]liver!$A:$A,1,FALSE)</f>
        <v>#N/A</v>
      </c>
      <c r="H187">
        <f t="shared" si="2"/>
        <v>0</v>
      </c>
    </row>
    <row r="188" spans="1:8" x14ac:dyDescent="0.2">
      <c r="A188" s="1" t="s">
        <v>124</v>
      </c>
      <c r="B188" t="e">
        <f>VLOOKUP(A188,'[1]Table S2'!$B$3:$B$509,1,FALSE)</f>
        <v>#N/A</v>
      </c>
      <c r="C188" t="e">
        <f>VLOOKUP(A188,'[1]Table S5'!$B$3:$B$641,1,FALSE)</f>
        <v>#N/A</v>
      </c>
      <c r="D188" t="e">
        <f>VLOOKUP(A188,[2]Sheet2!$A:$A,1,FALSE)</f>
        <v>#N/A</v>
      </c>
      <c r="E188" t="e">
        <f>VLOOKUP(A188,[3]cortex!$A:$A,1,FALSE)</f>
        <v>#N/A</v>
      </c>
      <c r="F188" t="e">
        <f>VLOOKUP(A188,[4]liver!$A:$A,1,FALSE)</f>
        <v>#N/A</v>
      </c>
      <c r="H188">
        <f t="shared" si="2"/>
        <v>0</v>
      </c>
    </row>
    <row r="189" spans="1:8" x14ac:dyDescent="0.2">
      <c r="A189" s="1" t="s">
        <v>125</v>
      </c>
      <c r="B189" t="e">
        <f>VLOOKUP(A189,'[1]Table S2'!$B$3:$B$509,1,FALSE)</f>
        <v>#N/A</v>
      </c>
      <c r="C189" t="e">
        <f>VLOOKUP(A189,'[1]Table S5'!$B$3:$B$641,1,FALSE)</f>
        <v>#N/A</v>
      </c>
      <c r="D189" t="e">
        <f>VLOOKUP(A189,[2]Sheet2!$A:$A,1,FALSE)</f>
        <v>#N/A</v>
      </c>
      <c r="E189" t="e">
        <f>VLOOKUP(A189,[3]cortex!$A:$A,1,FALSE)</f>
        <v>#N/A</v>
      </c>
      <c r="F189" t="e">
        <f>VLOOKUP(A189,[4]liver!$A:$A,1,FALSE)</f>
        <v>#N/A</v>
      </c>
      <c r="H189">
        <f t="shared" si="2"/>
        <v>0</v>
      </c>
    </row>
    <row r="190" spans="1:8" x14ac:dyDescent="0.2">
      <c r="A190" s="1" t="s">
        <v>126</v>
      </c>
      <c r="B190" t="e">
        <f>VLOOKUP(A190,'[1]Table S2'!$B$3:$B$509,1,FALSE)</f>
        <v>#N/A</v>
      </c>
      <c r="C190" t="e">
        <f>VLOOKUP(A190,'[1]Table S5'!$B$3:$B$641,1,FALSE)</f>
        <v>#N/A</v>
      </c>
      <c r="D190" t="e">
        <f>VLOOKUP(A190,[2]Sheet2!$A:$A,1,FALSE)</f>
        <v>#N/A</v>
      </c>
      <c r="E190" t="e">
        <f>VLOOKUP(A190,[3]cortex!$A:$A,1,FALSE)</f>
        <v>#N/A</v>
      </c>
      <c r="F190" t="e">
        <f>VLOOKUP(A190,[4]liver!$A:$A,1,FALSE)</f>
        <v>#N/A</v>
      </c>
      <c r="H190">
        <f t="shared" si="2"/>
        <v>0</v>
      </c>
    </row>
    <row r="191" spans="1:8" x14ac:dyDescent="0.2">
      <c r="A191" s="1" t="s">
        <v>127</v>
      </c>
      <c r="B191" t="e">
        <f>VLOOKUP(A191,'[1]Table S2'!$B$3:$B$509,1,FALSE)</f>
        <v>#N/A</v>
      </c>
      <c r="C191" t="e">
        <f>VLOOKUP(A191,'[1]Table S5'!$B$3:$B$641,1,FALSE)</f>
        <v>#N/A</v>
      </c>
      <c r="D191" t="e">
        <f>VLOOKUP(A191,[2]Sheet2!$A:$A,1,FALSE)</f>
        <v>#N/A</v>
      </c>
      <c r="E191" t="e">
        <f>VLOOKUP(A191,[3]cortex!$A:$A,1,FALSE)</f>
        <v>#N/A</v>
      </c>
      <c r="F191" t="e">
        <f>VLOOKUP(A191,[4]liver!$A:$A,1,FALSE)</f>
        <v>#N/A</v>
      </c>
      <c r="H191">
        <f t="shared" si="2"/>
        <v>0</v>
      </c>
    </row>
    <row r="192" spans="1:8" x14ac:dyDescent="0.2">
      <c r="A192" s="1" t="s">
        <v>128</v>
      </c>
      <c r="B192" t="e">
        <f>VLOOKUP(A192,'[1]Table S2'!$B$3:$B$509,1,FALSE)</f>
        <v>#N/A</v>
      </c>
      <c r="C192" t="e">
        <f>VLOOKUP(A192,'[1]Table S5'!$B$3:$B$641,1,FALSE)</f>
        <v>#N/A</v>
      </c>
      <c r="D192" t="e">
        <f>VLOOKUP(A192,[2]Sheet2!$A:$A,1,FALSE)</f>
        <v>#N/A</v>
      </c>
      <c r="E192" t="e">
        <f>VLOOKUP(A192,[3]cortex!$A:$A,1,FALSE)</f>
        <v>#N/A</v>
      </c>
      <c r="F192" t="e">
        <f>VLOOKUP(A192,[4]liver!$A:$A,1,FALSE)</f>
        <v>#N/A</v>
      </c>
      <c r="H192">
        <f t="shared" si="2"/>
        <v>0</v>
      </c>
    </row>
    <row r="193" spans="1:8" x14ac:dyDescent="0.2">
      <c r="A193" s="1" t="s">
        <v>129</v>
      </c>
      <c r="B193" t="e">
        <f>VLOOKUP(A193,'[1]Table S2'!$B$3:$B$509,1,FALSE)</f>
        <v>#N/A</v>
      </c>
      <c r="C193" t="e">
        <f>VLOOKUP(A193,'[1]Table S5'!$B$3:$B$641,1,FALSE)</f>
        <v>#N/A</v>
      </c>
      <c r="D193" t="e">
        <f>VLOOKUP(A193,[2]Sheet2!$A:$A,1,FALSE)</f>
        <v>#N/A</v>
      </c>
      <c r="E193" t="e">
        <f>VLOOKUP(A193,[3]cortex!$A:$A,1,FALSE)</f>
        <v>#N/A</v>
      </c>
      <c r="F193" t="e">
        <f>VLOOKUP(A193,[4]liver!$A:$A,1,FALSE)</f>
        <v>#N/A</v>
      </c>
      <c r="H193">
        <f t="shared" si="2"/>
        <v>0</v>
      </c>
    </row>
    <row r="194" spans="1:8" x14ac:dyDescent="0.2">
      <c r="A194" s="1" t="s">
        <v>130</v>
      </c>
      <c r="B194" t="e">
        <f>VLOOKUP(A194,'[1]Table S2'!$B$3:$B$509,1,FALSE)</f>
        <v>#N/A</v>
      </c>
      <c r="C194" t="e">
        <f>VLOOKUP(A194,'[1]Table S5'!$B$3:$B$641,1,FALSE)</f>
        <v>#N/A</v>
      </c>
      <c r="D194" t="e">
        <f>VLOOKUP(A194,[2]Sheet2!$A:$A,1,FALSE)</f>
        <v>#N/A</v>
      </c>
      <c r="E194" t="e">
        <f>VLOOKUP(A194,[3]cortex!$A:$A,1,FALSE)</f>
        <v>#N/A</v>
      </c>
      <c r="F194" t="e">
        <f>VLOOKUP(A194,[4]liver!$A:$A,1,FALSE)</f>
        <v>#N/A</v>
      </c>
      <c r="H194">
        <f t="shared" ref="H194:H257" si="3">COUNTIF(B194:G194,A194)</f>
        <v>0</v>
      </c>
    </row>
    <row r="195" spans="1:8" x14ac:dyDescent="0.2">
      <c r="A195" s="1" t="s">
        <v>131</v>
      </c>
      <c r="B195" t="e">
        <f>VLOOKUP(A195,'[1]Table S2'!$B$3:$B$509,1,FALSE)</f>
        <v>#N/A</v>
      </c>
      <c r="C195" t="e">
        <f>VLOOKUP(A195,'[1]Table S5'!$B$3:$B$641,1,FALSE)</f>
        <v>#N/A</v>
      </c>
      <c r="D195" t="e">
        <f>VLOOKUP(A195,[2]Sheet2!$A:$A,1,FALSE)</f>
        <v>#N/A</v>
      </c>
      <c r="E195" t="e">
        <f>VLOOKUP(A195,[3]cortex!$A:$A,1,FALSE)</f>
        <v>#N/A</v>
      </c>
      <c r="F195" t="e">
        <f>VLOOKUP(A195,[4]liver!$A:$A,1,FALSE)</f>
        <v>#N/A</v>
      </c>
      <c r="H195">
        <f t="shared" si="3"/>
        <v>0</v>
      </c>
    </row>
    <row r="196" spans="1:8" x14ac:dyDescent="0.2">
      <c r="A196" s="1" t="s">
        <v>132</v>
      </c>
      <c r="B196" t="e">
        <f>VLOOKUP(A196,'[1]Table S2'!$B$3:$B$509,1,FALSE)</f>
        <v>#N/A</v>
      </c>
      <c r="C196" t="e">
        <f>VLOOKUP(A196,'[1]Table S5'!$B$3:$B$641,1,FALSE)</f>
        <v>#N/A</v>
      </c>
      <c r="D196" t="e">
        <f>VLOOKUP(A196,[2]Sheet2!$A:$A,1,FALSE)</f>
        <v>#N/A</v>
      </c>
      <c r="E196" t="e">
        <f>VLOOKUP(A196,[3]cortex!$A:$A,1,FALSE)</f>
        <v>#N/A</v>
      </c>
      <c r="F196" t="e">
        <f>VLOOKUP(A196,[4]liver!$A:$A,1,FALSE)</f>
        <v>#N/A</v>
      </c>
      <c r="H196">
        <f t="shared" si="3"/>
        <v>0</v>
      </c>
    </row>
    <row r="197" spans="1:8" x14ac:dyDescent="0.2">
      <c r="A197" s="1" t="s">
        <v>133</v>
      </c>
      <c r="B197" t="e">
        <f>VLOOKUP(A197,'[1]Table S2'!$B$3:$B$509,1,FALSE)</f>
        <v>#N/A</v>
      </c>
      <c r="C197" t="e">
        <f>VLOOKUP(A197,'[1]Table S5'!$B$3:$B$641,1,FALSE)</f>
        <v>#N/A</v>
      </c>
      <c r="D197" t="e">
        <f>VLOOKUP(A197,[2]Sheet2!$A:$A,1,FALSE)</f>
        <v>#N/A</v>
      </c>
      <c r="E197" t="e">
        <f>VLOOKUP(A197,[3]cortex!$A:$A,1,FALSE)</f>
        <v>#N/A</v>
      </c>
      <c r="F197" t="e">
        <f>VLOOKUP(A197,[4]liver!$A:$A,1,FALSE)</f>
        <v>#N/A</v>
      </c>
      <c r="H197">
        <f t="shared" si="3"/>
        <v>0</v>
      </c>
    </row>
    <row r="198" spans="1:8" x14ac:dyDescent="0.2">
      <c r="A198" s="1" t="s">
        <v>134</v>
      </c>
      <c r="B198" t="e">
        <f>VLOOKUP(A198,'[1]Table S2'!$B$3:$B$509,1,FALSE)</f>
        <v>#N/A</v>
      </c>
      <c r="C198" t="e">
        <f>VLOOKUP(A198,'[1]Table S5'!$B$3:$B$641,1,FALSE)</f>
        <v>#N/A</v>
      </c>
      <c r="D198" t="e">
        <f>VLOOKUP(A198,[2]Sheet2!$A:$A,1,FALSE)</f>
        <v>#N/A</v>
      </c>
      <c r="E198" t="e">
        <f>VLOOKUP(A198,[3]cortex!$A:$A,1,FALSE)</f>
        <v>#N/A</v>
      </c>
      <c r="F198" t="e">
        <f>VLOOKUP(A198,[4]liver!$A:$A,1,FALSE)</f>
        <v>#N/A</v>
      </c>
      <c r="H198">
        <f t="shared" si="3"/>
        <v>0</v>
      </c>
    </row>
    <row r="199" spans="1:8" x14ac:dyDescent="0.2">
      <c r="A199" s="1" t="s">
        <v>135</v>
      </c>
      <c r="B199" t="e">
        <f>VLOOKUP(A199,'[1]Table S2'!$B$3:$B$509,1,FALSE)</f>
        <v>#N/A</v>
      </c>
      <c r="C199" t="e">
        <f>VLOOKUP(A199,'[1]Table S5'!$B$3:$B$641,1,FALSE)</f>
        <v>#N/A</v>
      </c>
      <c r="D199" t="e">
        <f>VLOOKUP(A199,[2]Sheet2!$A:$A,1,FALSE)</f>
        <v>#N/A</v>
      </c>
      <c r="E199" t="e">
        <f>VLOOKUP(A199,[3]cortex!$A:$A,1,FALSE)</f>
        <v>#N/A</v>
      </c>
      <c r="F199" t="e">
        <f>VLOOKUP(A199,[4]liver!$A:$A,1,FALSE)</f>
        <v>#N/A</v>
      </c>
      <c r="H199">
        <f t="shared" si="3"/>
        <v>0</v>
      </c>
    </row>
    <row r="200" spans="1:8" x14ac:dyDescent="0.2">
      <c r="A200" s="1" t="s">
        <v>136</v>
      </c>
      <c r="B200" t="e">
        <f>VLOOKUP(A200,'[1]Table S2'!$B$3:$B$509,1,FALSE)</f>
        <v>#N/A</v>
      </c>
      <c r="C200" t="e">
        <f>VLOOKUP(A200,'[1]Table S5'!$B$3:$B$641,1,FALSE)</f>
        <v>#N/A</v>
      </c>
      <c r="D200" t="e">
        <f>VLOOKUP(A200,[2]Sheet2!$A:$A,1,FALSE)</f>
        <v>#N/A</v>
      </c>
      <c r="E200" t="e">
        <f>VLOOKUP(A200,[3]cortex!$A:$A,1,FALSE)</f>
        <v>#N/A</v>
      </c>
      <c r="F200" t="e">
        <f>VLOOKUP(A200,[4]liver!$A:$A,1,FALSE)</f>
        <v>#N/A</v>
      </c>
      <c r="H200">
        <f t="shared" si="3"/>
        <v>0</v>
      </c>
    </row>
    <row r="201" spans="1:8" x14ac:dyDescent="0.2">
      <c r="A201" s="1" t="s">
        <v>137</v>
      </c>
      <c r="B201" t="e">
        <f>VLOOKUP(A201,'[1]Table S2'!$B$3:$B$509,1,FALSE)</f>
        <v>#N/A</v>
      </c>
      <c r="C201" t="e">
        <f>VLOOKUP(A201,'[1]Table S5'!$B$3:$B$641,1,FALSE)</f>
        <v>#N/A</v>
      </c>
      <c r="D201" t="e">
        <f>VLOOKUP(A201,[2]Sheet2!$A:$A,1,FALSE)</f>
        <v>#N/A</v>
      </c>
      <c r="E201" t="e">
        <f>VLOOKUP(A201,[3]cortex!$A:$A,1,FALSE)</f>
        <v>#N/A</v>
      </c>
      <c r="F201" t="e">
        <f>VLOOKUP(A201,[4]liver!$A:$A,1,FALSE)</f>
        <v>#N/A</v>
      </c>
      <c r="H201">
        <f t="shared" si="3"/>
        <v>0</v>
      </c>
    </row>
    <row r="202" spans="1:8" x14ac:dyDescent="0.2">
      <c r="A202" s="1" t="s">
        <v>138</v>
      </c>
      <c r="B202" t="e">
        <f>VLOOKUP(A202,'[1]Table S2'!$B$3:$B$509,1,FALSE)</f>
        <v>#N/A</v>
      </c>
      <c r="C202" t="e">
        <f>VLOOKUP(A202,'[1]Table S5'!$B$3:$B$641,1,FALSE)</f>
        <v>#N/A</v>
      </c>
      <c r="D202" t="e">
        <f>VLOOKUP(A202,[2]Sheet2!$A:$A,1,FALSE)</f>
        <v>#N/A</v>
      </c>
      <c r="E202" t="e">
        <f>VLOOKUP(A202,[3]cortex!$A:$A,1,FALSE)</f>
        <v>#N/A</v>
      </c>
      <c r="F202" t="e">
        <f>VLOOKUP(A202,[4]liver!$A:$A,1,FALSE)</f>
        <v>#N/A</v>
      </c>
      <c r="H202">
        <f t="shared" si="3"/>
        <v>0</v>
      </c>
    </row>
    <row r="203" spans="1:8" x14ac:dyDescent="0.2">
      <c r="A203" s="1" t="s">
        <v>139</v>
      </c>
      <c r="B203" t="e">
        <f>VLOOKUP(A203,'[1]Table S2'!$B$3:$B$509,1,FALSE)</f>
        <v>#N/A</v>
      </c>
      <c r="C203" t="e">
        <f>VLOOKUP(A203,'[1]Table S5'!$B$3:$B$641,1,FALSE)</f>
        <v>#N/A</v>
      </c>
      <c r="D203" t="e">
        <f>VLOOKUP(A203,[2]Sheet2!$A:$A,1,FALSE)</f>
        <v>#N/A</v>
      </c>
      <c r="E203" t="e">
        <f>VLOOKUP(A203,[3]cortex!$A:$A,1,FALSE)</f>
        <v>#N/A</v>
      </c>
      <c r="F203" t="e">
        <f>VLOOKUP(A203,[4]liver!$A:$A,1,FALSE)</f>
        <v>#N/A</v>
      </c>
      <c r="H203">
        <f t="shared" si="3"/>
        <v>0</v>
      </c>
    </row>
    <row r="204" spans="1:8" x14ac:dyDescent="0.2">
      <c r="A204" s="1" t="s">
        <v>140</v>
      </c>
      <c r="B204" t="e">
        <f>VLOOKUP(A204,'[1]Table S2'!$B$3:$B$509,1,FALSE)</f>
        <v>#N/A</v>
      </c>
      <c r="C204" t="e">
        <f>VLOOKUP(A204,'[1]Table S5'!$B$3:$B$641,1,FALSE)</f>
        <v>#N/A</v>
      </c>
      <c r="D204" t="e">
        <f>VLOOKUP(A204,[2]Sheet2!$A:$A,1,FALSE)</f>
        <v>#N/A</v>
      </c>
      <c r="E204" t="e">
        <f>VLOOKUP(A204,[3]cortex!$A:$A,1,FALSE)</f>
        <v>#N/A</v>
      </c>
      <c r="F204" t="e">
        <f>VLOOKUP(A204,[4]liver!$A:$A,1,FALSE)</f>
        <v>#N/A</v>
      </c>
      <c r="H204">
        <f t="shared" si="3"/>
        <v>0</v>
      </c>
    </row>
    <row r="205" spans="1:8" x14ac:dyDescent="0.2">
      <c r="A205" s="1" t="s">
        <v>141</v>
      </c>
      <c r="B205" t="e">
        <f>VLOOKUP(A205,'[1]Table S2'!$B$3:$B$509,1,FALSE)</f>
        <v>#N/A</v>
      </c>
      <c r="C205" t="e">
        <f>VLOOKUP(A205,'[1]Table S5'!$B$3:$B$641,1,FALSE)</f>
        <v>#N/A</v>
      </c>
      <c r="D205" t="e">
        <f>VLOOKUP(A205,[2]Sheet2!$A:$A,1,FALSE)</f>
        <v>#N/A</v>
      </c>
      <c r="E205" t="e">
        <f>VLOOKUP(A205,[3]cortex!$A:$A,1,FALSE)</f>
        <v>#N/A</v>
      </c>
      <c r="F205" t="e">
        <f>VLOOKUP(A205,[4]liver!$A:$A,1,FALSE)</f>
        <v>#N/A</v>
      </c>
      <c r="H205">
        <f t="shared" si="3"/>
        <v>0</v>
      </c>
    </row>
    <row r="206" spans="1:8" x14ac:dyDescent="0.2">
      <c r="A206" s="1" t="s">
        <v>142</v>
      </c>
      <c r="B206" t="e">
        <f>VLOOKUP(A206,'[1]Table S2'!$B$3:$B$509,1,FALSE)</f>
        <v>#N/A</v>
      </c>
      <c r="C206" t="e">
        <f>VLOOKUP(A206,'[1]Table S5'!$B$3:$B$641,1,FALSE)</f>
        <v>#N/A</v>
      </c>
      <c r="D206" t="e">
        <f>VLOOKUP(A206,[2]Sheet2!$A:$A,1,FALSE)</f>
        <v>#N/A</v>
      </c>
      <c r="E206" t="e">
        <f>VLOOKUP(A206,[3]cortex!$A:$A,1,FALSE)</f>
        <v>#N/A</v>
      </c>
      <c r="F206" t="e">
        <f>VLOOKUP(A206,[4]liver!$A:$A,1,FALSE)</f>
        <v>#N/A</v>
      </c>
      <c r="H206">
        <f t="shared" si="3"/>
        <v>0</v>
      </c>
    </row>
    <row r="207" spans="1:8" x14ac:dyDescent="0.2">
      <c r="A207" s="1" t="s">
        <v>143</v>
      </c>
      <c r="B207" t="e">
        <f>VLOOKUP(A207,'[1]Table S2'!$B$3:$B$509,1,FALSE)</f>
        <v>#N/A</v>
      </c>
      <c r="C207" t="e">
        <f>VLOOKUP(A207,'[1]Table S5'!$B$3:$B$641,1,FALSE)</f>
        <v>#N/A</v>
      </c>
      <c r="D207" t="e">
        <f>VLOOKUP(A207,[2]Sheet2!$A:$A,1,FALSE)</f>
        <v>#N/A</v>
      </c>
      <c r="E207" t="e">
        <f>VLOOKUP(A207,[3]cortex!$A:$A,1,FALSE)</f>
        <v>#N/A</v>
      </c>
      <c r="F207" t="e">
        <f>VLOOKUP(A207,[4]liver!$A:$A,1,FALSE)</f>
        <v>#N/A</v>
      </c>
      <c r="H207">
        <f t="shared" si="3"/>
        <v>0</v>
      </c>
    </row>
    <row r="208" spans="1:8" x14ac:dyDescent="0.2">
      <c r="A208" s="1" t="s">
        <v>144</v>
      </c>
      <c r="B208" t="e">
        <f>VLOOKUP(A208,'[1]Table S2'!$B$3:$B$509,1,FALSE)</f>
        <v>#N/A</v>
      </c>
      <c r="C208" t="e">
        <f>VLOOKUP(A208,'[1]Table S5'!$B$3:$B$641,1,FALSE)</f>
        <v>#N/A</v>
      </c>
      <c r="D208" t="e">
        <f>VLOOKUP(A208,[2]Sheet2!$A:$A,1,FALSE)</f>
        <v>#N/A</v>
      </c>
      <c r="E208" t="e">
        <f>VLOOKUP(A208,[3]cortex!$A:$A,1,FALSE)</f>
        <v>#N/A</v>
      </c>
      <c r="F208" t="e">
        <f>VLOOKUP(A208,[4]liver!$A:$A,1,FALSE)</f>
        <v>#N/A</v>
      </c>
      <c r="H208">
        <f t="shared" si="3"/>
        <v>0</v>
      </c>
    </row>
    <row r="209" spans="1:8" x14ac:dyDescent="0.2">
      <c r="A209" s="1" t="s">
        <v>145</v>
      </c>
      <c r="B209" t="e">
        <f>VLOOKUP(A209,'[1]Table S2'!$B$3:$B$509,1,FALSE)</f>
        <v>#N/A</v>
      </c>
      <c r="C209" t="e">
        <f>VLOOKUP(A209,'[1]Table S5'!$B$3:$B$641,1,FALSE)</f>
        <v>#N/A</v>
      </c>
      <c r="D209" t="e">
        <f>VLOOKUP(A209,[2]Sheet2!$A:$A,1,FALSE)</f>
        <v>#N/A</v>
      </c>
      <c r="E209" t="e">
        <f>VLOOKUP(A209,[3]cortex!$A:$A,1,FALSE)</f>
        <v>#N/A</v>
      </c>
      <c r="F209" t="e">
        <f>VLOOKUP(A209,[4]liver!$A:$A,1,FALSE)</f>
        <v>#N/A</v>
      </c>
      <c r="H209">
        <f t="shared" si="3"/>
        <v>0</v>
      </c>
    </row>
    <row r="210" spans="1:8" x14ac:dyDescent="0.2">
      <c r="A210" s="1" t="s">
        <v>146</v>
      </c>
      <c r="B210" t="e">
        <f>VLOOKUP(A210,'[1]Table S2'!$B$3:$B$509,1,FALSE)</f>
        <v>#N/A</v>
      </c>
      <c r="C210" t="e">
        <f>VLOOKUP(A210,'[1]Table S5'!$B$3:$B$641,1,FALSE)</f>
        <v>#N/A</v>
      </c>
      <c r="D210" t="e">
        <f>VLOOKUP(A210,[2]Sheet2!$A:$A,1,FALSE)</f>
        <v>#N/A</v>
      </c>
      <c r="E210" t="e">
        <f>VLOOKUP(A210,[3]cortex!$A:$A,1,FALSE)</f>
        <v>#N/A</v>
      </c>
      <c r="F210" t="e">
        <f>VLOOKUP(A210,[4]liver!$A:$A,1,FALSE)</f>
        <v>#N/A</v>
      </c>
      <c r="H210">
        <f t="shared" si="3"/>
        <v>0</v>
      </c>
    </row>
    <row r="211" spans="1:8" x14ac:dyDescent="0.2">
      <c r="A211" s="1" t="s">
        <v>147</v>
      </c>
      <c r="B211" t="e">
        <f>VLOOKUP(A211,'[1]Table S2'!$B$3:$B$509,1,FALSE)</f>
        <v>#N/A</v>
      </c>
      <c r="C211" t="e">
        <f>VLOOKUP(A211,'[1]Table S5'!$B$3:$B$641,1,FALSE)</f>
        <v>#N/A</v>
      </c>
      <c r="D211" t="e">
        <f>VLOOKUP(A211,[2]Sheet2!$A:$A,1,FALSE)</f>
        <v>#N/A</v>
      </c>
      <c r="E211" t="e">
        <f>VLOOKUP(A211,[3]cortex!$A:$A,1,FALSE)</f>
        <v>#N/A</v>
      </c>
      <c r="F211" t="e">
        <f>VLOOKUP(A211,[4]liver!$A:$A,1,FALSE)</f>
        <v>#N/A</v>
      </c>
      <c r="H211">
        <f t="shared" si="3"/>
        <v>0</v>
      </c>
    </row>
    <row r="212" spans="1:8" x14ac:dyDescent="0.2">
      <c r="A212" s="1" t="s">
        <v>148</v>
      </c>
      <c r="B212" t="e">
        <f>VLOOKUP(A212,'[1]Table S2'!$B$3:$B$509,1,FALSE)</f>
        <v>#N/A</v>
      </c>
      <c r="C212" t="e">
        <f>VLOOKUP(A212,'[1]Table S5'!$B$3:$B$641,1,FALSE)</f>
        <v>#N/A</v>
      </c>
      <c r="D212" t="e">
        <f>VLOOKUP(A212,[2]Sheet2!$A:$A,1,FALSE)</f>
        <v>#N/A</v>
      </c>
      <c r="E212" t="e">
        <f>VLOOKUP(A212,[3]cortex!$A:$A,1,FALSE)</f>
        <v>#N/A</v>
      </c>
      <c r="F212" t="e">
        <f>VLOOKUP(A212,[4]liver!$A:$A,1,FALSE)</f>
        <v>#N/A</v>
      </c>
      <c r="H212">
        <f t="shared" si="3"/>
        <v>0</v>
      </c>
    </row>
    <row r="213" spans="1:8" x14ac:dyDescent="0.2">
      <c r="A213" s="1" t="s">
        <v>149</v>
      </c>
      <c r="B213" t="e">
        <f>VLOOKUP(A213,'[1]Table S2'!$B$3:$B$509,1,FALSE)</f>
        <v>#N/A</v>
      </c>
      <c r="C213" t="e">
        <f>VLOOKUP(A213,'[1]Table S5'!$B$3:$B$641,1,FALSE)</f>
        <v>#N/A</v>
      </c>
      <c r="D213" t="e">
        <f>VLOOKUP(A213,[2]Sheet2!$A:$A,1,FALSE)</f>
        <v>#N/A</v>
      </c>
      <c r="E213" t="e">
        <f>VLOOKUP(A213,[3]cortex!$A:$A,1,FALSE)</f>
        <v>#N/A</v>
      </c>
      <c r="F213" t="e">
        <f>VLOOKUP(A213,[4]liver!$A:$A,1,FALSE)</f>
        <v>#N/A</v>
      </c>
      <c r="H213">
        <f t="shared" si="3"/>
        <v>0</v>
      </c>
    </row>
    <row r="214" spans="1:8" x14ac:dyDescent="0.2">
      <c r="A214" s="1" t="s">
        <v>150</v>
      </c>
      <c r="B214" t="e">
        <f>VLOOKUP(A214,'[1]Table S2'!$B$3:$B$509,1,FALSE)</f>
        <v>#N/A</v>
      </c>
      <c r="C214" t="e">
        <f>VLOOKUP(A214,'[1]Table S5'!$B$3:$B$641,1,FALSE)</f>
        <v>#N/A</v>
      </c>
      <c r="D214" t="e">
        <f>VLOOKUP(A214,[2]Sheet2!$A:$A,1,FALSE)</f>
        <v>#N/A</v>
      </c>
      <c r="E214" t="e">
        <f>VLOOKUP(A214,[3]cortex!$A:$A,1,FALSE)</f>
        <v>#N/A</v>
      </c>
      <c r="F214" t="e">
        <f>VLOOKUP(A214,[4]liver!$A:$A,1,FALSE)</f>
        <v>#N/A</v>
      </c>
      <c r="H214">
        <f t="shared" si="3"/>
        <v>0</v>
      </c>
    </row>
    <row r="215" spans="1:8" x14ac:dyDescent="0.2">
      <c r="A215" s="1" t="s">
        <v>151</v>
      </c>
      <c r="B215" t="e">
        <f>VLOOKUP(A215,'[1]Table S2'!$B$3:$B$509,1,FALSE)</f>
        <v>#N/A</v>
      </c>
      <c r="C215" t="e">
        <f>VLOOKUP(A215,'[1]Table S5'!$B$3:$B$641,1,FALSE)</f>
        <v>#N/A</v>
      </c>
      <c r="D215" t="e">
        <f>VLOOKUP(A215,[2]Sheet2!$A:$A,1,FALSE)</f>
        <v>#N/A</v>
      </c>
      <c r="E215" t="e">
        <f>VLOOKUP(A215,[3]cortex!$A:$A,1,FALSE)</f>
        <v>#N/A</v>
      </c>
      <c r="F215" t="e">
        <f>VLOOKUP(A215,[4]liver!$A:$A,1,FALSE)</f>
        <v>#N/A</v>
      </c>
      <c r="H215">
        <f t="shared" si="3"/>
        <v>0</v>
      </c>
    </row>
    <row r="216" spans="1:8" x14ac:dyDescent="0.2">
      <c r="A216" s="1" t="s">
        <v>152</v>
      </c>
      <c r="B216" t="e">
        <f>VLOOKUP(A216,'[1]Table S2'!$B$3:$B$509,1,FALSE)</f>
        <v>#N/A</v>
      </c>
      <c r="C216" t="e">
        <f>VLOOKUP(A216,'[1]Table S5'!$B$3:$B$641,1,FALSE)</f>
        <v>#N/A</v>
      </c>
      <c r="D216" t="e">
        <f>VLOOKUP(A216,[2]Sheet2!$A:$A,1,FALSE)</f>
        <v>#N/A</v>
      </c>
      <c r="E216" t="e">
        <f>VLOOKUP(A216,[3]cortex!$A:$A,1,FALSE)</f>
        <v>#N/A</v>
      </c>
      <c r="F216" t="e">
        <f>VLOOKUP(A216,[4]liver!$A:$A,1,FALSE)</f>
        <v>#N/A</v>
      </c>
      <c r="H216">
        <f t="shared" si="3"/>
        <v>0</v>
      </c>
    </row>
    <row r="217" spans="1:8" x14ac:dyDescent="0.2">
      <c r="A217" s="1" t="s">
        <v>153</v>
      </c>
      <c r="B217" t="e">
        <f>VLOOKUP(A217,'[1]Table S2'!$B$3:$B$509,1,FALSE)</f>
        <v>#N/A</v>
      </c>
      <c r="C217" t="e">
        <f>VLOOKUP(A217,'[1]Table S5'!$B$3:$B$641,1,FALSE)</f>
        <v>#N/A</v>
      </c>
      <c r="D217" t="e">
        <f>VLOOKUP(A217,[2]Sheet2!$A:$A,1,FALSE)</f>
        <v>#N/A</v>
      </c>
      <c r="E217" t="e">
        <f>VLOOKUP(A217,[3]cortex!$A:$A,1,FALSE)</f>
        <v>#N/A</v>
      </c>
      <c r="F217" t="e">
        <f>VLOOKUP(A217,[4]liver!$A:$A,1,FALSE)</f>
        <v>#N/A</v>
      </c>
      <c r="H217">
        <f t="shared" si="3"/>
        <v>0</v>
      </c>
    </row>
    <row r="218" spans="1:8" x14ac:dyDescent="0.2">
      <c r="A218" s="1" t="s">
        <v>154</v>
      </c>
      <c r="B218" t="e">
        <f>VLOOKUP(A218,'[1]Table S2'!$B$3:$B$509,1,FALSE)</f>
        <v>#N/A</v>
      </c>
      <c r="C218" t="e">
        <f>VLOOKUP(A218,'[1]Table S5'!$B$3:$B$641,1,FALSE)</f>
        <v>#N/A</v>
      </c>
      <c r="D218" t="e">
        <f>VLOOKUP(A218,[2]Sheet2!$A:$A,1,FALSE)</f>
        <v>#N/A</v>
      </c>
      <c r="E218" t="e">
        <f>VLOOKUP(A218,[3]cortex!$A:$A,1,FALSE)</f>
        <v>#N/A</v>
      </c>
      <c r="F218" t="e">
        <f>VLOOKUP(A218,[4]liver!$A:$A,1,FALSE)</f>
        <v>#N/A</v>
      </c>
      <c r="H218">
        <f t="shared" si="3"/>
        <v>0</v>
      </c>
    </row>
    <row r="219" spans="1:8" x14ac:dyDescent="0.2">
      <c r="A219" s="1" t="s">
        <v>155</v>
      </c>
      <c r="B219" t="e">
        <f>VLOOKUP(A219,'[1]Table S2'!$B$3:$B$509,1,FALSE)</f>
        <v>#N/A</v>
      </c>
      <c r="C219" t="e">
        <f>VLOOKUP(A219,'[1]Table S5'!$B$3:$B$641,1,FALSE)</f>
        <v>#N/A</v>
      </c>
      <c r="D219" t="e">
        <f>VLOOKUP(A219,[2]Sheet2!$A:$A,1,FALSE)</f>
        <v>#N/A</v>
      </c>
      <c r="E219" t="e">
        <f>VLOOKUP(A219,[3]cortex!$A:$A,1,FALSE)</f>
        <v>#N/A</v>
      </c>
      <c r="F219" t="e">
        <f>VLOOKUP(A219,[4]liver!$A:$A,1,FALSE)</f>
        <v>#N/A</v>
      </c>
      <c r="H219">
        <f t="shared" si="3"/>
        <v>0</v>
      </c>
    </row>
    <row r="220" spans="1:8" x14ac:dyDescent="0.2">
      <c r="A220" s="1" t="s">
        <v>156</v>
      </c>
      <c r="B220" t="e">
        <f>VLOOKUP(A220,'[1]Table S2'!$B$3:$B$509,1,FALSE)</f>
        <v>#N/A</v>
      </c>
      <c r="C220" t="e">
        <f>VLOOKUP(A220,'[1]Table S5'!$B$3:$B$641,1,FALSE)</f>
        <v>#N/A</v>
      </c>
      <c r="D220" t="e">
        <f>VLOOKUP(A220,[2]Sheet2!$A:$A,1,FALSE)</f>
        <v>#N/A</v>
      </c>
      <c r="E220" t="e">
        <f>VLOOKUP(A220,[3]cortex!$A:$A,1,FALSE)</f>
        <v>#N/A</v>
      </c>
      <c r="F220" t="e">
        <f>VLOOKUP(A220,[4]liver!$A:$A,1,FALSE)</f>
        <v>#N/A</v>
      </c>
      <c r="H220">
        <f t="shared" si="3"/>
        <v>0</v>
      </c>
    </row>
    <row r="221" spans="1:8" x14ac:dyDescent="0.2">
      <c r="A221" s="1" t="s">
        <v>157</v>
      </c>
      <c r="B221" t="e">
        <f>VLOOKUP(A221,'[1]Table S2'!$B$3:$B$509,1,FALSE)</f>
        <v>#N/A</v>
      </c>
      <c r="C221" t="e">
        <f>VLOOKUP(A221,'[1]Table S5'!$B$3:$B$641,1,FALSE)</f>
        <v>#N/A</v>
      </c>
      <c r="D221" t="e">
        <f>VLOOKUP(A221,[2]Sheet2!$A:$A,1,FALSE)</f>
        <v>#N/A</v>
      </c>
      <c r="E221" t="e">
        <f>VLOOKUP(A221,[3]cortex!$A:$A,1,FALSE)</f>
        <v>#N/A</v>
      </c>
      <c r="F221" t="e">
        <f>VLOOKUP(A221,[4]liver!$A:$A,1,FALSE)</f>
        <v>#N/A</v>
      </c>
      <c r="H221">
        <f t="shared" si="3"/>
        <v>0</v>
      </c>
    </row>
    <row r="222" spans="1:8" x14ac:dyDescent="0.2">
      <c r="A222" s="1" t="s">
        <v>158</v>
      </c>
      <c r="B222" t="e">
        <f>VLOOKUP(A222,'[1]Table S2'!$B$3:$B$509,1,FALSE)</f>
        <v>#N/A</v>
      </c>
      <c r="C222" t="e">
        <f>VLOOKUP(A222,'[1]Table S5'!$B$3:$B$641,1,FALSE)</f>
        <v>#N/A</v>
      </c>
      <c r="D222" t="e">
        <f>VLOOKUP(A222,[2]Sheet2!$A:$A,1,FALSE)</f>
        <v>#N/A</v>
      </c>
      <c r="E222" t="e">
        <f>VLOOKUP(A222,[3]cortex!$A:$A,1,FALSE)</f>
        <v>#N/A</v>
      </c>
      <c r="F222" t="e">
        <f>VLOOKUP(A222,[4]liver!$A:$A,1,FALSE)</f>
        <v>#N/A</v>
      </c>
      <c r="H222">
        <f t="shared" si="3"/>
        <v>0</v>
      </c>
    </row>
    <row r="223" spans="1:8" x14ac:dyDescent="0.2">
      <c r="A223" s="1" t="s">
        <v>159</v>
      </c>
      <c r="B223" t="e">
        <f>VLOOKUP(A223,'[1]Table S2'!$B$3:$B$509,1,FALSE)</f>
        <v>#N/A</v>
      </c>
      <c r="C223" t="e">
        <f>VLOOKUP(A223,'[1]Table S5'!$B$3:$B$641,1,FALSE)</f>
        <v>#N/A</v>
      </c>
      <c r="D223" t="e">
        <f>VLOOKUP(A223,[2]Sheet2!$A:$A,1,FALSE)</f>
        <v>#N/A</v>
      </c>
      <c r="E223" t="e">
        <f>VLOOKUP(A223,[3]cortex!$A:$A,1,FALSE)</f>
        <v>#N/A</v>
      </c>
      <c r="F223" t="e">
        <f>VLOOKUP(A223,[4]liver!$A:$A,1,FALSE)</f>
        <v>#N/A</v>
      </c>
      <c r="H223">
        <f t="shared" si="3"/>
        <v>0</v>
      </c>
    </row>
    <row r="224" spans="1:8" x14ac:dyDescent="0.2">
      <c r="A224" s="1" t="s">
        <v>160</v>
      </c>
      <c r="B224" t="e">
        <f>VLOOKUP(A224,'[1]Table S2'!$B$3:$B$509,1,FALSE)</f>
        <v>#N/A</v>
      </c>
      <c r="C224" t="e">
        <f>VLOOKUP(A224,'[1]Table S5'!$B$3:$B$641,1,FALSE)</f>
        <v>#N/A</v>
      </c>
      <c r="D224" t="e">
        <f>VLOOKUP(A224,[2]Sheet2!$A:$A,1,FALSE)</f>
        <v>#N/A</v>
      </c>
      <c r="E224" t="e">
        <f>VLOOKUP(A224,[3]cortex!$A:$A,1,FALSE)</f>
        <v>#N/A</v>
      </c>
      <c r="F224" t="e">
        <f>VLOOKUP(A224,[4]liver!$A:$A,1,FALSE)</f>
        <v>#N/A</v>
      </c>
      <c r="H224">
        <f t="shared" si="3"/>
        <v>0</v>
      </c>
    </row>
    <row r="225" spans="1:8" x14ac:dyDescent="0.2">
      <c r="A225" s="1" t="s">
        <v>161</v>
      </c>
      <c r="B225" t="e">
        <f>VLOOKUP(A225,'[1]Table S2'!$B$3:$B$509,1,FALSE)</f>
        <v>#N/A</v>
      </c>
      <c r="C225" t="e">
        <f>VLOOKUP(A225,'[1]Table S5'!$B$3:$B$641,1,FALSE)</f>
        <v>#N/A</v>
      </c>
      <c r="D225" t="e">
        <f>VLOOKUP(A225,[2]Sheet2!$A:$A,1,FALSE)</f>
        <v>#N/A</v>
      </c>
      <c r="E225" t="e">
        <f>VLOOKUP(A225,[3]cortex!$A:$A,1,FALSE)</f>
        <v>#N/A</v>
      </c>
      <c r="F225" t="e">
        <f>VLOOKUP(A225,[4]liver!$A:$A,1,FALSE)</f>
        <v>#N/A</v>
      </c>
      <c r="H225">
        <f t="shared" si="3"/>
        <v>0</v>
      </c>
    </row>
    <row r="226" spans="1:8" x14ac:dyDescent="0.2">
      <c r="A226" s="1" t="s">
        <v>162</v>
      </c>
      <c r="B226" t="e">
        <f>VLOOKUP(A226,'[1]Table S2'!$B$3:$B$509,1,FALSE)</f>
        <v>#N/A</v>
      </c>
      <c r="C226" t="e">
        <f>VLOOKUP(A226,'[1]Table S5'!$B$3:$B$641,1,FALSE)</f>
        <v>#N/A</v>
      </c>
      <c r="D226" t="e">
        <f>VLOOKUP(A226,[2]Sheet2!$A:$A,1,FALSE)</f>
        <v>#N/A</v>
      </c>
      <c r="E226" t="e">
        <f>VLOOKUP(A226,[3]cortex!$A:$A,1,FALSE)</f>
        <v>#N/A</v>
      </c>
      <c r="F226" t="e">
        <f>VLOOKUP(A226,[4]liver!$A:$A,1,FALSE)</f>
        <v>#N/A</v>
      </c>
      <c r="H226">
        <f t="shared" si="3"/>
        <v>0</v>
      </c>
    </row>
    <row r="227" spans="1:8" x14ac:dyDescent="0.2">
      <c r="A227" s="1" t="s">
        <v>164</v>
      </c>
      <c r="B227" t="e">
        <f>VLOOKUP(A227,'[1]Table S2'!$B$3:$B$509,1,FALSE)</f>
        <v>#N/A</v>
      </c>
      <c r="C227" t="e">
        <f>VLOOKUP(A227,'[1]Table S5'!$B$3:$B$641,1,FALSE)</f>
        <v>#N/A</v>
      </c>
      <c r="D227" t="e">
        <f>VLOOKUP(A227,[2]Sheet2!$A:$A,1,FALSE)</f>
        <v>#N/A</v>
      </c>
      <c r="E227" t="e">
        <f>VLOOKUP(A227,[3]cortex!$A:$A,1,FALSE)</f>
        <v>#N/A</v>
      </c>
      <c r="F227" t="e">
        <f>VLOOKUP(A227,[4]liver!$A:$A,1,FALSE)</f>
        <v>#N/A</v>
      </c>
      <c r="H227">
        <f t="shared" si="3"/>
        <v>0</v>
      </c>
    </row>
    <row r="228" spans="1:8" x14ac:dyDescent="0.2">
      <c r="A228" s="1" t="s">
        <v>165</v>
      </c>
      <c r="B228" t="e">
        <f>VLOOKUP(A228,'[1]Table S2'!$B$3:$B$509,1,FALSE)</f>
        <v>#N/A</v>
      </c>
      <c r="C228" t="e">
        <f>VLOOKUP(A228,'[1]Table S5'!$B$3:$B$641,1,FALSE)</f>
        <v>#N/A</v>
      </c>
      <c r="D228" t="e">
        <f>VLOOKUP(A228,[2]Sheet2!$A:$A,1,FALSE)</f>
        <v>#N/A</v>
      </c>
      <c r="E228" t="e">
        <f>VLOOKUP(A228,[3]cortex!$A:$A,1,FALSE)</f>
        <v>#N/A</v>
      </c>
      <c r="F228" t="e">
        <f>VLOOKUP(A228,[4]liver!$A:$A,1,FALSE)</f>
        <v>#N/A</v>
      </c>
      <c r="H228">
        <f t="shared" si="3"/>
        <v>0</v>
      </c>
    </row>
    <row r="229" spans="1:8" x14ac:dyDescent="0.2">
      <c r="A229" s="1" t="s">
        <v>167</v>
      </c>
      <c r="B229" t="e">
        <f>VLOOKUP(A229,'[1]Table S2'!$B$3:$B$509,1,FALSE)</f>
        <v>#N/A</v>
      </c>
      <c r="C229" t="e">
        <f>VLOOKUP(A229,'[1]Table S5'!$B$3:$B$641,1,FALSE)</f>
        <v>#N/A</v>
      </c>
      <c r="D229" t="e">
        <f>VLOOKUP(A229,[2]Sheet2!$A:$A,1,FALSE)</f>
        <v>#N/A</v>
      </c>
      <c r="E229" t="e">
        <f>VLOOKUP(A229,[3]cortex!$A:$A,1,FALSE)</f>
        <v>#N/A</v>
      </c>
      <c r="F229" t="e">
        <f>VLOOKUP(A229,[4]liver!$A:$A,1,FALSE)</f>
        <v>#N/A</v>
      </c>
      <c r="H229">
        <f t="shared" si="3"/>
        <v>0</v>
      </c>
    </row>
    <row r="230" spans="1:8" x14ac:dyDescent="0.2">
      <c r="A230" s="1" t="s">
        <v>168</v>
      </c>
      <c r="B230" t="e">
        <f>VLOOKUP(A230,'[1]Table S2'!$B$3:$B$509,1,FALSE)</f>
        <v>#N/A</v>
      </c>
      <c r="C230" t="e">
        <f>VLOOKUP(A230,'[1]Table S5'!$B$3:$B$641,1,FALSE)</f>
        <v>#N/A</v>
      </c>
      <c r="D230" t="e">
        <f>VLOOKUP(A230,[2]Sheet2!$A:$A,1,FALSE)</f>
        <v>#N/A</v>
      </c>
      <c r="E230" t="e">
        <f>VLOOKUP(A230,[3]cortex!$A:$A,1,FALSE)</f>
        <v>#N/A</v>
      </c>
      <c r="F230" t="e">
        <f>VLOOKUP(A230,[4]liver!$A:$A,1,FALSE)</f>
        <v>#N/A</v>
      </c>
      <c r="H230">
        <f t="shared" si="3"/>
        <v>0</v>
      </c>
    </row>
    <row r="231" spans="1:8" x14ac:dyDescent="0.2">
      <c r="A231" s="1" t="s">
        <v>169</v>
      </c>
      <c r="B231" t="e">
        <f>VLOOKUP(A231,'[1]Table S2'!$B$3:$B$509,1,FALSE)</f>
        <v>#N/A</v>
      </c>
      <c r="C231" t="e">
        <f>VLOOKUP(A231,'[1]Table S5'!$B$3:$B$641,1,FALSE)</f>
        <v>#N/A</v>
      </c>
      <c r="D231" t="e">
        <f>VLOOKUP(A231,[2]Sheet2!$A:$A,1,FALSE)</f>
        <v>#N/A</v>
      </c>
      <c r="E231" t="e">
        <f>VLOOKUP(A231,[3]cortex!$A:$A,1,FALSE)</f>
        <v>#N/A</v>
      </c>
      <c r="F231" t="e">
        <f>VLOOKUP(A231,[4]liver!$A:$A,1,FALSE)</f>
        <v>#N/A</v>
      </c>
      <c r="H231">
        <f t="shared" si="3"/>
        <v>0</v>
      </c>
    </row>
    <row r="232" spans="1:8" x14ac:dyDescent="0.2">
      <c r="A232" s="1" t="s">
        <v>170</v>
      </c>
      <c r="B232" t="e">
        <f>VLOOKUP(A232,'[1]Table S2'!$B$3:$B$509,1,FALSE)</f>
        <v>#N/A</v>
      </c>
      <c r="C232" t="e">
        <f>VLOOKUP(A232,'[1]Table S5'!$B$3:$B$641,1,FALSE)</f>
        <v>#N/A</v>
      </c>
      <c r="D232" t="e">
        <f>VLOOKUP(A232,[2]Sheet2!$A:$A,1,FALSE)</f>
        <v>#N/A</v>
      </c>
      <c r="E232" t="e">
        <f>VLOOKUP(A232,[3]cortex!$A:$A,1,FALSE)</f>
        <v>#N/A</v>
      </c>
      <c r="F232" t="e">
        <f>VLOOKUP(A232,[4]liver!$A:$A,1,FALSE)</f>
        <v>#N/A</v>
      </c>
      <c r="H232">
        <f t="shared" si="3"/>
        <v>0</v>
      </c>
    </row>
    <row r="233" spans="1:8" x14ac:dyDescent="0.2">
      <c r="A233" s="1" t="s">
        <v>171</v>
      </c>
      <c r="B233" t="e">
        <f>VLOOKUP(A233,'[1]Table S2'!$B$3:$B$509,1,FALSE)</f>
        <v>#N/A</v>
      </c>
      <c r="C233" t="e">
        <f>VLOOKUP(A233,'[1]Table S5'!$B$3:$B$641,1,FALSE)</f>
        <v>#N/A</v>
      </c>
      <c r="D233" t="e">
        <f>VLOOKUP(A233,[2]Sheet2!$A:$A,1,FALSE)</f>
        <v>#N/A</v>
      </c>
      <c r="E233" t="e">
        <f>VLOOKUP(A233,[3]cortex!$A:$A,1,FALSE)</f>
        <v>#N/A</v>
      </c>
      <c r="F233" t="e">
        <f>VLOOKUP(A233,[4]liver!$A:$A,1,FALSE)</f>
        <v>#N/A</v>
      </c>
      <c r="H233">
        <f t="shared" si="3"/>
        <v>0</v>
      </c>
    </row>
    <row r="234" spans="1:8" x14ac:dyDescent="0.2">
      <c r="A234" s="1" t="s">
        <v>172</v>
      </c>
      <c r="B234" t="e">
        <f>VLOOKUP(A234,'[1]Table S2'!$B$3:$B$509,1,FALSE)</f>
        <v>#N/A</v>
      </c>
      <c r="C234" t="e">
        <f>VLOOKUP(A234,'[1]Table S5'!$B$3:$B$641,1,FALSE)</f>
        <v>#N/A</v>
      </c>
      <c r="D234" t="e">
        <f>VLOOKUP(A234,[2]Sheet2!$A:$A,1,FALSE)</f>
        <v>#N/A</v>
      </c>
      <c r="E234" t="e">
        <f>VLOOKUP(A234,[3]cortex!$A:$A,1,FALSE)</f>
        <v>#N/A</v>
      </c>
      <c r="F234" t="e">
        <f>VLOOKUP(A234,[4]liver!$A:$A,1,FALSE)</f>
        <v>#N/A</v>
      </c>
      <c r="H234">
        <f t="shared" si="3"/>
        <v>0</v>
      </c>
    </row>
    <row r="235" spans="1:8" x14ac:dyDescent="0.2">
      <c r="A235" s="1" t="s">
        <v>173</v>
      </c>
      <c r="B235" t="e">
        <f>VLOOKUP(A235,'[1]Table S2'!$B$3:$B$509,1,FALSE)</f>
        <v>#N/A</v>
      </c>
      <c r="C235" t="e">
        <f>VLOOKUP(A235,'[1]Table S5'!$B$3:$B$641,1,FALSE)</f>
        <v>#N/A</v>
      </c>
      <c r="D235" t="e">
        <f>VLOOKUP(A235,[2]Sheet2!$A:$A,1,FALSE)</f>
        <v>#N/A</v>
      </c>
      <c r="E235" t="e">
        <f>VLOOKUP(A235,[3]cortex!$A:$A,1,FALSE)</f>
        <v>#N/A</v>
      </c>
      <c r="F235" t="e">
        <f>VLOOKUP(A235,[4]liver!$A:$A,1,FALSE)</f>
        <v>#N/A</v>
      </c>
      <c r="H235">
        <f t="shared" si="3"/>
        <v>0</v>
      </c>
    </row>
    <row r="236" spans="1:8" x14ac:dyDescent="0.2">
      <c r="A236" s="1" t="s">
        <v>174</v>
      </c>
      <c r="B236" t="e">
        <f>VLOOKUP(A236,'[1]Table S2'!$B$3:$B$509,1,FALSE)</f>
        <v>#N/A</v>
      </c>
      <c r="C236" t="e">
        <f>VLOOKUP(A236,'[1]Table S5'!$B$3:$B$641,1,FALSE)</f>
        <v>#N/A</v>
      </c>
      <c r="D236" t="e">
        <f>VLOOKUP(A236,[2]Sheet2!$A:$A,1,FALSE)</f>
        <v>#N/A</v>
      </c>
      <c r="E236" t="e">
        <f>VLOOKUP(A236,[3]cortex!$A:$A,1,FALSE)</f>
        <v>#N/A</v>
      </c>
      <c r="F236" t="e">
        <f>VLOOKUP(A236,[4]liver!$A:$A,1,FALSE)</f>
        <v>#N/A</v>
      </c>
      <c r="H236">
        <f t="shared" si="3"/>
        <v>0</v>
      </c>
    </row>
    <row r="237" spans="1:8" x14ac:dyDescent="0.2">
      <c r="A237" s="1" t="s">
        <v>175</v>
      </c>
      <c r="B237" t="e">
        <f>VLOOKUP(A237,'[1]Table S2'!$B$3:$B$509,1,FALSE)</f>
        <v>#N/A</v>
      </c>
      <c r="C237" t="e">
        <f>VLOOKUP(A237,'[1]Table S5'!$B$3:$B$641,1,FALSE)</f>
        <v>#N/A</v>
      </c>
      <c r="D237" t="e">
        <f>VLOOKUP(A237,[2]Sheet2!$A:$A,1,FALSE)</f>
        <v>#N/A</v>
      </c>
      <c r="E237" t="e">
        <f>VLOOKUP(A237,[3]cortex!$A:$A,1,FALSE)</f>
        <v>#N/A</v>
      </c>
      <c r="F237" t="e">
        <f>VLOOKUP(A237,[4]liver!$A:$A,1,FALSE)</f>
        <v>#N/A</v>
      </c>
      <c r="H237">
        <f t="shared" si="3"/>
        <v>0</v>
      </c>
    </row>
    <row r="238" spans="1:8" x14ac:dyDescent="0.2">
      <c r="A238" s="1" t="s">
        <v>176</v>
      </c>
      <c r="B238" t="e">
        <f>VLOOKUP(A238,'[1]Table S2'!$B$3:$B$509,1,FALSE)</f>
        <v>#N/A</v>
      </c>
      <c r="C238" t="e">
        <f>VLOOKUP(A238,'[1]Table S5'!$B$3:$B$641,1,FALSE)</f>
        <v>#N/A</v>
      </c>
      <c r="D238" t="e">
        <f>VLOOKUP(A238,[2]Sheet2!$A:$A,1,FALSE)</f>
        <v>#N/A</v>
      </c>
      <c r="E238" t="e">
        <f>VLOOKUP(A238,[3]cortex!$A:$A,1,FALSE)</f>
        <v>#N/A</v>
      </c>
      <c r="F238" t="e">
        <f>VLOOKUP(A238,[4]liver!$A:$A,1,FALSE)</f>
        <v>#N/A</v>
      </c>
      <c r="H238">
        <f t="shared" si="3"/>
        <v>0</v>
      </c>
    </row>
    <row r="239" spans="1:8" x14ac:dyDescent="0.2">
      <c r="A239" s="1" t="s">
        <v>177</v>
      </c>
      <c r="B239" t="e">
        <f>VLOOKUP(A239,'[1]Table S2'!$B$3:$B$509,1,FALSE)</f>
        <v>#N/A</v>
      </c>
      <c r="C239" t="e">
        <f>VLOOKUP(A239,'[1]Table S5'!$B$3:$B$641,1,FALSE)</f>
        <v>#N/A</v>
      </c>
      <c r="D239" t="e">
        <f>VLOOKUP(A239,[2]Sheet2!$A:$A,1,FALSE)</f>
        <v>#N/A</v>
      </c>
      <c r="E239" t="e">
        <f>VLOOKUP(A239,[3]cortex!$A:$A,1,FALSE)</f>
        <v>#N/A</v>
      </c>
      <c r="F239" t="e">
        <f>VLOOKUP(A239,[4]liver!$A:$A,1,FALSE)</f>
        <v>#N/A</v>
      </c>
      <c r="H239">
        <f t="shared" si="3"/>
        <v>0</v>
      </c>
    </row>
    <row r="240" spans="1:8" x14ac:dyDescent="0.2">
      <c r="A240" s="1" t="s">
        <v>178</v>
      </c>
      <c r="B240" t="e">
        <f>VLOOKUP(A240,'[1]Table S2'!$B$3:$B$509,1,FALSE)</f>
        <v>#N/A</v>
      </c>
      <c r="C240" t="e">
        <f>VLOOKUP(A240,'[1]Table S5'!$B$3:$B$641,1,FALSE)</f>
        <v>#N/A</v>
      </c>
      <c r="D240" t="e">
        <f>VLOOKUP(A240,[2]Sheet2!$A:$A,1,FALSE)</f>
        <v>#N/A</v>
      </c>
      <c r="E240" t="e">
        <f>VLOOKUP(A240,[3]cortex!$A:$A,1,FALSE)</f>
        <v>#N/A</v>
      </c>
      <c r="F240" t="e">
        <f>VLOOKUP(A240,[4]liver!$A:$A,1,FALSE)</f>
        <v>#N/A</v>
      </c>
      <c r="H240">
        <f t="shared" si="3"/>
        <v>0</v>
      </c>
    </row>
    <row r="241" spans="1:8" x14ac:dyDescent="0.2">
      <c r="A241" s="1" t="s">
        <v>179</v>
      </c>
      <c r="B241" t="e">
        <f>VLOOKUP(A241,'[1]Table S2'!$B$3:$B$509,1,FALSE)</f>
        <v>#N/A</v>
      </c>
      <c r="C241" t="e">
        <f>VLOOKUP(A241,'[1]Table S5'!$B$3:$B$641,1,FALSE)</f>
        <v>#N/A</v>
      </c>
      <c r="D241" t="e">
        <f>VLOOKUP(A241,[2]Sheet2!$A:$A,1,FALSE)</f>
        <v>#N/A</v>
      </c>
      <c r="E241" t="e">
        <f>VLOOKUP(A241,[3]cortex!$A:$A,1,FALSE)</f>
        <v>#N/A</v>
      </c>
      <c r="F241" t="e">
        <f>VLOOKUP(A241,[4]liver!$A:$A,1,FALSE)</f>
        <v>#N/A</v>
      </c>
      <c r="H241">
        <f t="shared" si="3"/>
        <v>0</v>
      </c>
    </row>
    <row r="242" spans="1:8" x14ac:dyDescent="0.2">
      <c r="A242" s="1" t="s">
        <v>180</v>
      </c>
      <c r="B242" t="e">
        <f>VLOOKUP(A242,'[1]Table S2'!$B$3:$B$509,1,FALSE)</f>
        <v>#N/A</v>
      </c>
      <c r="C242" t="e">
        <f>VLOOKUP(A242,'[1]Table S5'!$B$3:$B$641,1,FALSE)</f>
        <v>#N/A</v>
      </c>
      <c r="D242" t="e">
        <f>VLOOKUP(A242,[2]Sheet2!$A:$A,1,FALSE)</f>
        <v>#N/A</v>
      </c>
      <c r="E242" t="e">
        <f>VLOOKUP(A242,[3]cortex!$A:$A,1,FALSE)</f>
        <v>#N/A</v>
      </c>
      <c r="F242" t="e">
        <f>VLOOKUP(A242,[4]liver!$A:$A,1,FALSE)</f>
        <v>#N/A</v>
      </c>
      <c r="H242">
        <f t="shared" si="3"/>
        <v>0</v>
      </c>
    </row>
    <row r="243" spans="1:8" x14ac:dyDescent="0.2">
      <c r="A243" s="1" t="s">
        <v>181</v>
      </c>
      <c r="B243" t="e">
        <f>VLOOKUP(A243,'[1]Table S2'!$B$3:$B$509,1,FALSE)</f>
        <v>#N/A</v>
      </c>
      <c r="C243" t="e">
        <f>VLOOKUP(A243,'[1]Table S5'!$B$3:$B$641,1,FALSE)</f>
        <v>#N/A</v>
      </c>
      <c r="D243" t="e">
        <f>VLOOKUP(A243,[2]Sheet2!$A:$A,1,FALSE)</f>
        <v>#N/A</v>
      </c>
      <c r="E243" t="e">
        <f>VLOOKUP(A243,[3]cortex!$A:$A,1,FALSE)</f>
        <v>#N/A</v>
      </c>
      <c r="F243" t="e">
        <f>VLOOKUP(A243,[4]liver!$A:$A,1,FALSE)</f>
        <v>#N/A</v>
      </c>
      <c r="H243">
        <f t="shared" si="3"/>
        <v>0</v>
      </c>
    </row>
    <row r="244" spans="1:8" x14ac:dyDescent="0.2">
      <c r="A244" s="1" t="s">
        <v>182</v>
      </c>
      <c r="B244" t="e">
        <f>VLOOKUP(A244,'[1]Table S2'!$B$3:$B$509,1,FALSE)</f>
        <v>#N/A</v>
      </c>
      <c r="C244" t="e">
        <f>VLOOKUP(A244,'[1]Table S5'!$B$3:$B$641,1,FALSE)</f>
        <v>#N/A</v>
      </c>
      <c r="D244" t="e">
        <f>VLOOKUP(A244,[2]Sheet2!$A:$A,1,FALSE)</f>
        <v>#N/A</v>
      </c>
      <c r="E244" t="e">
        <f>VLOOKUP(A244,[3]cortex!$A:$A,1,FALSE)</f>
        <v>#N/A</v>
      </c>
      <c r="F244" t="e">
        <f>VLOOKUP(A244,[4]liver!$A:$A,1,FALSE)</f>
        <v>#N/A</v>
      </c>
      <c r="H244">
        <f t="shared" si="3"/>
        <v>0</v>
      </c>
    </row>
    <row r="245" spans="1:8" x14ac:dyDescent="0.2">
      <c r="A245" s="1" t="s">
        <v>183</v>
      </c>
      <c r="B245" t="e">
        <f>VLOOKUP(A245,'[1]Table S2'!$B$3:$B$509,1,FALSE)</f>
        <v>#N/A</v>
      </c>
      <c r="C245" t="e">
        <f>VLOOKUP(A245,'[1]Table S5'!$B$3:$B$641,1,FALSE)</f>
        <v>#N/A</v>
      </c>
      <c r="D245" t="e">
        <f>VLOOKUP(A245,[2]Sheet2!$A:$A,1,FALSE)</f>
        <v>#N/A</v>
      </c>
      <c r="E245" t="e">
        <f>VLOOKUP(A245,[3]cortex!$A:$A,1,FALSE)</f>
        <v>#N/A</v>
      </c>
      <c r="F245" t="e">
        <f>VLOOKUP(A245,[4]liver!$A:$A,1,FALSE)</f>
        <v>#N/A</v>
      </c>
      <c r="H245">
        <f t="shared" si="3"/>
        <v>0</v>
      </c>
    </row>
    <row r="246" spans="1:8" x14ac:dyDescent="0.2">
      <c r="A246" s="1" t="s">
        <v>184</v>
      </c>
      <c r="B246" t="e">
        <f>VLOOKUP(A246,'[1]Table S2'!$B$3:$B$509,1,FALSE)</f>
        <v>#N/A</v>
      </c>
      <c r="C246" t="e">
        <f>VLOOKUP(A246,'[1]Table S5'!$B$3:$B$641,1,FALSE)</f>
        <v>#N/A</v>
      </c>
      <c r="D246" t="e">
        <f>VLOOKUP(A246,[2]Sheet2!$A:$A,1,FALSE)</f>
        <v>#N/A</v>
      </c>
      <c r="E246" t="e">
        <f>VLOOKUP(A246,[3]cortex!$A:$A,1,FALSE)</f>
        <v>#N/A</v>
      </c>
      <c r="F246" t="e">
        <f>VLOOKUP(A246,[4]liver!$A:$A,1,FALSE)</f>
        <v>#N/A</v>
      </c>
      <c r="H246">
        <f t="shared" si="3"/>
        <v>0</v>
      </c>
    </row>
    <row r="247" spans="1:8" x14ac:dyDescent="0.2">
      <c r="A247" s="1" t="s">
        <v>185</v>
      </c>
      <c r="B247" t="e">
        <f>VLOOKUP(A247,'[1]Table S2'!$B$3:$B$509,1,FALSE)</f>
        <v>#N/A</v>
      </c>
      <c r="C247" t="e">
        <f>VLOOKUP(A247,'[1]Table S5'!$B$3:$B$641,1,FALSE)</f>
        <v>#N/A</v>
      </c>
      <c r="D247" t="e">
        <f>VLOOKUP(A247,[2]Sheet2!$A:$A,1,FALSE)</f>
        <v>#N/A</v>
      </c>
      <c r="E247" t="e">
        <f>VLOOKUP(A247,[3]cortex!$A:$A,1,FALSE)</f>
        <v>#N/A</v>
      </c>
      <c r="F247" t="e">
        <f>VLOOKUP(A247,[4]liver!$A:$A,1,FALSE)</f>
        <v>#N/A</v>
      </c>
      <c r="H247">
        <f t="shared" si="3"/>
        <v>0</v>
      </c>
    </row>
    <row r="248" spans="1:8" x14ac:dyDescent="0.2">
      <c r="A248" s="1" t="s">
        <v>186</v>
      </c>
      <c r="B248" t="e">
        <f>VLOOKUP(A248,'[1]Table S2'!$B$3:$B$509,1,FALSE)</f>
        <v>#N/A</v>
      </c>
      <c r="C248" t="e">
        <f>VLOOKUP(A248,'[1]Table S5'!$B$3:$B$641,1,FALSE)</f>
        <v>#N/A</v>
      </c>
      <c r="D248" t="e">
        <f>VLOOKUP(A248,[2]Sheet2!$A:$A,1,FALSE)</f>
        <v>#N/A</v>
      </c>
      <c r="E248" t="e">
        <f>VLOOKUP(A248,[3]cortex!$A:$A,1,FALSE)</f>
        <v>#N/A</v>
      </c>
      <c r="F248" t="e">
        <f>VLOOKUP(A248,[4]liver!$A:$A,1,FALSE)</f>
        <v>#N/A</v>
      </c>
      <c r="H248">
        <f t="shared" si="3"/>
        <v>0</v>
      </c>
    </row>
    <row r="249" spans="1:8" x14ac:dyDescent="0.2">
      <c r="A249" s="1" t="s">
        <v>187</v>
      </c>
      <c r="B249" t="e">
        <f>VLOOKUP(A249,'[1]Table S2'!$B$3:$B$509,1,FALSE)</f>
        <v>#N/A</v>
      </c>
      <c r="C249" t="e">
        <f>VLOOKUP(A249,'[1]Table S5'!$B$3:$B$641,1,FALSE)</f>
        <v>#N/A</v>
      </c>
      <c r="D249" t="e">
        <f>VLOOKUP(A249,[2]Sheet2!$A:$A,1,FALSE)</f>
        <v>#N/A</v>
      </c>
      <c r="E249" t="e">
        <f>VLOOKUP(A249,[3]cortex!$A:$A,1,FALSE)</f>
        <v>#N/A</v>
      </c>
      <c r="F249" t="e">
        <f>VLOOKUP(A249,[4]liver!$A:$A,1,FALSE)</f>
        <v>#N/A</v>
      </c>
      <c r="H249">
        <f t="shared" si="3"/>
        <v>0</v>
      </c>
    </row>
    <row r="250" spans="1:8" x14ac:dyDescent="0.2">
      <c r="A250" s="1" t="s">
        <v>188</v>
      </c>
      <c r="B250" t="e">
        <f>VLOOKUP(A250,'[1]Table S2'!$B$3:$B$509,1,FALSE)</f>
        <v>#N/A</v>
      </c>
      <c r="C250" t="e">
        <f>VLOOKUP(A250,'[1]Table S5'!$B$3:$B$641,1,FALSE)</f>
        <v>#N/A</v>
      </c>
      <c r="D250" t="e">
        <f>VLOOKUP(A250,[2]Sheet2!$A:$A,1,FALSE)</f>
        <v>#N/A</v>
      </c>
      <c r="E250" t="e">
        <f>VLOOKUP(A250,[3]cortex!$A:$A,1,FALSE)</f>
        <v>#N/A</v>
      </c>
      <c r="F250" t="e">
        <f>VLOOKUP(A250,[4]liver!$A:$A,1,FALSE)</f>
        <v>#N/A</v>
      </c>
      <c r="H250">
        <f t="shared" si="3"/>
        <v>0</v>
      </c>
    </row>
    <row r="251" spans="1:8" x14ac:dyDescent="0.2">
      <c r="A251" s="1" t="s">
        <v>189</v>
      </c>
      <c r="B251" t="e">
        <f>VLOOKUP(A251,'[1]Table S2'!$B$3:$B$509,1,FALSE)</f>
        <v>#N/A</v>
      </c>
      <c r="C251" t="e">
        <f>VLOOKUP(A251,'[1]Table S5'!$B$3:$B$641,1,FALSE)</f>
        <v>#N/A</v>
      </c>
      <c r="D251" t="e">
        <f>VLOOKUP(A251,[2]Sheet2!$A:$A,1,FALSE)</f>
        <v>#N/A</v>
      </c>
      <c r="E251" t="e">
        <f>VLOOKUP(A251,[3]cortex!$A:$A,1,FALSE)</f>
        <v>#N/A</v>
      </c>
      <c r="F251" t="e">
        <f>VLOOKUP(A251,[4]liver!$A:$A,1,FALSE)</f>
        <v>#N/A</v>
      </c>
      <c r="H251">
        <f t="shared" si="3"/>
        <v>0</v>
      </c>
    </row>
    <row r="252" spans="1:8" x14ac:dyDescent="0.2">
      <c r="A252" s="1" t="s">
        <v>190</v>
      </c>
      <c r="B252" t="e">
        <f>VLOOKUP(A252,'[1]Table S2'!$B$3:$B$509,1,FALSE)</f>
        <v>#N/A</v>
      </c>
      <c r="C252" t="e">
        <f>VLOOKUP(A252,'[1]Table S5'!$B$3:$B$641,1,FALSE)</f>
        <v>#N/A</v>
      </c>
      <c r="D252" t="e">
        <f>VLOOKUP(A252,[2]Sheet2!$A:$A,1,FALSE)</f>
        <v>#N/A</v>
      </c>
      <c r="E252" t="e">
        <f>VLOOKUP(A252,[3]cortex!$A:$A,1,FALSE)</f>
        <v>#N/A</v>
      </c>
      <c r="F252" t="e">
        <f>VLOOKUP(A252,[4]liver!$A:$A,1,FALSE)</f>
        <v>#N/A</v>
      </c>
      <c r="H252">
        <f t="shared" si="3"/>
        <v>0</v>
      </c>
    </row>
    <row r="253" spans="1:8" x14ac:dyDescent="0.2">
      <c r="A253" s="1" t="s">
        <v>191</v>
      </c>
      <c r="B253" t="e">
        <f>VLOOKUP(A253,'[1]Table S2'!$B$3:$B$509,1,FALSE)</f>
        <v>#N/A</v>
      </c>
      <c r="C253" t="e">
        <f>VLOOKUP(A253,'[1]Table S5'!$B$3:$B$641,1,FALSE)</f>
        <v>#N/A</v>
      </c>
      <c r="D253" t="e">
        <f>VLOOKUP(A253,[2]Sheet2!$A:$A,1,FALSE)</f>
        <v>#N/A</v>
      </c>
      <c r="E253" t="e">
        <f>VLOOKUP(A253,[3]cortex!$A:$A,1,FALSE)</f>
        <v>#N/A</v>
      </c>
      <c r="F253" t="e">
        <f>VLOOKUP(A253,[4]liver!$A:$A,1,FALSE)</f>
        <v>#N/A</v>
      </c>
      <c r="H253">
        <f t="shared" si="3"/>
        <v>0</v>
      </c>
    </row>
    <row r="254" spans="1:8" x14ac:dyDescent="0.2">
      <c r="A254" s="1" t="s">
        <v>192</v>
      </c>
      <c r="B254" t="e">
        <f>VLOOKUP(A254,'[1]Table S2'!$B$3:$B$509,1,FALSE)</f>
        <v>#N/A</v>
      </c>
      <c r="C254" t="e">
        <f>VLOOKUP(A254,'[1]Table S5'!$B$3:$B$641,1,FALSE)</f>
        <v>#N/A</v>
      </c>
      <c r="D254" t="e">
        <f>VLOOKUP(A254,[2]Sheet2!$A:$A,1,FALSE)</f>
        <v>#N/A</v>
      </c>
      <c r="E254" t="e">
        <f>VLOOKUP(A254,[3]cortex!$A:$A,1,FALSE)</f>
        <v>#N/A</v>
      </c>
      <c r="F254" t="e">
        <f>VLOOKUP(A254,[4]liver!$A:$A,1,FALSE)</f>
        <v>#N/A</v>
      </c>
      <c r="H254">
        <f t="shared" si="3"/>
        <v>0</v>
      </c>
    </row>
    <row r="255" spans="1:8" x14ac:dyDescent="0.2">
      <c r="A255" s="1" t="s">
        <v>193</v>
      </c>
      <c r="B255" t="e">
        <f>VLOOKUP(A255,'[1]Table S2'!$B$3:$B$509,1,FALSE)</f>
        <v>#N/A</v>
      </c>
      <c r="C255" t="e">
        <f>VLOOKUP(A255,'[1]Table S5'!$B$3:$B$641,1,FALSE)</f>
        <v>#N/A</v>
      </c>
      <c r="D255" t="e">
        <f>VLOOKUP(A255,[2]Sheet2!$A:$A,1,FALSE)</f>
        <v>#N/A</v>
      </c>
      <c r="E255" t="e">
        <f>VLOOKUP(A255,[3]cortex!$A:$A,1,FALSE)</f>
        <v>#N/A</v>
      </c>
      <c r="F255" t="e">
        <f>VLOOKUP(A255,[4]liver!$A:$A,1,FALSE)</f>
        <v>#N/A</v>
      </c>
      <c r="H255">
        <f t="shared" si="3"/>
        <v>0</v>
      </c>
    </row>
    <row r="256" spans="1:8" x14ac:dyDescent="0.2">
      <c r="A256" s="1" t="s">
        <v>194</v>
      </c>
      <c r="B256" t="e">
        <f>VLOOKUP(A256,'[1]Table S2'!$B$3:$B$509,1,FALSE)</f>
        <v>#N/A</v>
      </c>
      <c r="C256" t="e">
        <f>VLOOKUP(A256,'[1]Table S5'!$B$3:$B$641,1,FALSE)</f>
        <v>#N/A</v>
      </c>
      <c r="D256" t="e">
        <f>VLOOKUP(A256,[2]Sheet2!$A:$A,1,FALSE)</f>
        <v>#N/A</v>
      </c>
      <c r="E256" t="e">
        <f>VLOOKUP(A256,[3]cortex!$A:$A,1,FALSE)</f>
        <v>#N/A</v>
      </c>
      <c r="F256" t="e">
        <f>VLOOKUP(A256,[4]liver!$A:$A,1,FALSE)</f>
        <v>#N/A</v>
      </c>
      <c r="H256">
        <f t="shared" si="3"/>
        <v>0</v>
      </c>
    </row>
    <row r="257" spans="1:8" x14ac:dyDescent="0.2">
      <c r="A257" s="1" t="s">
        <v>197</v>
      </c>
      <c r="B257" t="e">
        <f>VLOOKUP(A257,'[1]Table S2'!$B$3:$B$509,1,FALSE)</f>
        <v>#N/A</v>
      </c>
      <c r="C257" t="e">
        <f>VLOOKUP(A257,'[1]Table S5'!$B$3:$B$641,1,FALSE)</f>
        <v>#N/A</v>
      </c>
      <c r="D257" t="e">
        <f>VLOOKUP(A257,[2]Sheet2!$A:$A,1,FALSE)</f>
        <v>#N/A</v>
      </c>
      <c r="E257" t="e">
        <f>VLOOKUP(A257,[3]cortex!$A:$A,1,FALSE)</f>
        <v>#N/A</v>
      </c>
      <c r="F257" t="e">
        <f>VLOOKUP(A257,[4]liver!$A:$A,1,FALSE)</f>
        <v>#N/A</v>
      </c>
      <c r="H257">
        <f t="shared" si="3"/>
        <v>0</v>
      </c>
    </row>
    <row r="258" spans="1:8" x14ac:dyDescent="0.2">
      <c r="A258" s="1" t="s">
        <v>198</v>
      </c>
      <c r="B258" t="e">
        <f>VLOOKUP(A258,'[1]Table S2'!$B$3:$B$509,1,FALSE)</f>
        <v>#N/A</v>
      </c>
      <c r="C258" t="e">
        <f>VLOOKUP(A258,'[1]Table S5'!$B$3:$B$641,1,FALSE)</f>
        <v>#N/A</v>
      </c>
      <c r="D258" t="e">
        <f>VLOOKUP(A258,[2]Sheet2!$A:$A,1,FALSE)</f>
        <v>#N/A</v>
      </c>
      <c r="E258" t="e">
        <f>VLOOKUP(A258,[3]cortex!$A:$A,1,FALSE)</f>
        <v>#N/A</v>
      </c>
      <c r="F258" t="e">
        <f>VLOOKUP(A258,[4]liver!$A:$A,1,FALSE)</f>
        <v>#N/A</v>
      </c>
      <c r="H258">
        <f t="shared" ref="H258:H321" si="4">COUNTIF(B258:G258,A258)</f>
        <v>0</v>
      </c>
    </row>
    <row r="259" spans="1:8" x14ac:dyDescent="0.2">
      <c r="A259" s="1" t="s">
        <v>200</v>
      </c>
      <c r="B259" t="e">
        <f>VLOOKUP(A259,'[1]Table S2'!$B$3:$B$509,1,FALSE)</f>
        <v>#N/A</v>
      </c>
      <c r="C259" t="e">
        <f>VLOOKUP(A259,'[1]Table S5'!$B$3:$B$641,1,FALSE)</f>
        <v>#N/A</v>
      </c>
      <c r="D259" t="e">
        <f>VLOOKUP(A259,[2]Sheet2!$A:$A,1,FALSE)</f>
        <v>#N/A</v>
      </c>
      <c r="E259" t="e">
        <f>VLOOKUP(A259,[3]cortex!$A:$A,1,FALSE)</f>
        <v>#N/A</v>
      </c>
      <c r="F259" t="e">
        <f>VLOOKUP(A259,[4]liver!$A:$A,1,FALSE)</f>
        <v>#N/A</v>
      </c>
      <c r="H259">
        <f t="shared" si="4"/>
        <v>0</v>
      </c>
    </row>
    <row r="260" spans="1:8" x14ac:dyDescent="0.2">
      <c r="A260" s="1" t="s">
        <v>201</v>
      </c>
      <c r="B260" t="e">
        <f>VLOOKUP(A260,'[1]Table S2'!$B$3:$B$509,1,FALSE)</f>
        <v>#N/A</v>
      </c>
      <c r="C260" t="e">
        <f>VLOOKUP(A260,'[1]Table S5'!$B$3:$B$641,1,FALSE)</f>
        <v>#N/A</v>
      </c>
      <c r="D260" t="e">
        <f>VLOOKUP(A260,[2]Sheet2!$A:$A,1,FALSE)</f>
        <v>#N/A</v>
      </c>
      <c r="E260" t="e">
        <f>VLOOKUP(A260,[3]cortex!$A:$A,1,FALSE)</f>
        <v>#N/A</v>
      </c>
      <c r="F260" t="e">
        <f>VLOOKUP(A260,[4]liver!$A:$A,1,FALSE)</f>
        <v>#N/A</v>
      </c>
      <c r="H260">
        <f t="shared" si="4"/>
        <v>0</v>
      </c>
    </row>
    <row r="261" spans="1:8" x14ac:dyDescent="0.2">
      <c r="A261" s="1" t="s">
        <v>202</v>
      </c>
      <c r="B261" t="e">
        <f>VLOOKUP(A261,'[1]Table S2'!$B$3:$B$509,1,FALSE)</f>
        <v>#N/A</v>
      </c>
      <c r="C261" t="e">
        <f>VLOOKUP(A261,'[1]Table S5'!$B$3:$B$641,1,FALSE)</f>
        <v>#N/A</v>
      </c>
      <c r="D261" t="e">
        <f>VLOOKUP(A261,[2]Sheet2!$A:$A,1,FALSE)</f>
        <v>#N/A</v>
      </c>
      <c r="E261" t="e">
        <f>VLOOKUP(A261,[3]cortex!$A:$A,1,FALSE)</f>
        <v>#N/A</v>
      </c>
      <c r="F261" t="e">
        <f>VLOOKUP(A261,[4]liver!$A:$A,1,FALSE)</f>
        <v>#N/A</v>
      </c>
      <c r="H261">
        <f t="shared" si="4"/>
        <v>0</v>
      </c>
    </row>
    <row r="262" spans="1:8" x14ac:dyDescent="0.2">
      <c r="A262" s="1" t="s">
        <v>203</v>
      </c>
      <c r="B262" t="e">
        <f>VLOOKUP(A262,'[1]Table S2'!$B$3:$B$509,1,FALSE)</f>
        <v>#N/A</v>
      </c>
      <c r="C262" t="e">
        <f>VLOOKUP(A262,'[1]Table S5'!$B$3:$B$641,1,FALSE)</f>
        <v>#N/A</v>
      </c>
      <c r="D262" t="e">
        <f>VLOOKUP(A262,[2]Sheet2!$A:$A,1,FALSE)</f>
        <v>#N/A</v>
      </c>
      <c r="E262" t="e">
        <f>VLOOKUP(A262,[3]cortex!$A:$A,1,FALSE)</f>
        <v>#N/A</v>
      </c>
      <c r="F262" t="e">
        <f>VLOOKUP(A262,[4]liver!$A:$A,1,FALSE)</f>
        <v>#N/A</v>
      </c>
      <c r="H262">
        <f t="shared" si="4"/>
        <v>0</v>
      </c>
    </row>
    <row r="263" spans="1:8" x14ac:dyDescent="0.2">
      <c r="A263" s="1" t="s">
        <v>204</v>
      </c>
      <c r="B263" t="e">
        <f>VLOOKUP(A263,'[1]Table S2'!$B$3:$B$509,1,FALSE)</f>
        <v>#N/A</v>
      </c>
      <c r="C263" t="e">
        <f>VLOOKUP(A263,'[1]Table S5'!$B$3:$B$641,1,FALSE)</f>
        <v>#N/A</v>
      </c>
      <c r="D263" t="e">
        <f>VLOOKUP(A263,[2]Sheet2!$A:$A,1,FALSE)</f>
        <v>#N/A</v>
      </c>
      <c r="E263" t="e">
        <f>VLOOKUP(A263,[3]cortex!$A:$A,1,FALSE)</f>
        <v>#N/A</v>
      </c>
      <c r="F263" t="e">
        <f>VLOOKUP(A263,[4]liver!$A:$A,1,FALSE)</f>
        <v>#N/A</v>
      </c>
      <c r="H263">
        <f t="shared" si="4"/>
        <v>0</v>
      </c>
    </row>
    <row r="264" spans="1:8" x14ac:dyDescent="0.2">
      <c r="A264" s="1" t="s">
        <v>205</v>
      </c>
      <c r="B264" t="e">
        <f>VLOOKUP(A264,'[1]Table S2'!$B$3:$B$509,1,FALSE)</f>
        <v>#N/A</v>
      </c>
      <c r="C264" t="e">
        <f>VLOOKUP(A264,'[1]Table S5'!$B$3:$B$641,1,FALSE)</f>
        <v>#N/A</v>
      </c>
      <c r="D264" t="e">
        <f>VLOOKUP(A264,[2]Sheet2!$A:$A,1,FALSE)</f>
        <v>#N/A</v>
      </c>
      <c r="E264" t="e">
        <f>VLOOKUP(A264,[3]cortex!$A:$A,1,FALSE)</f>
        <v>#N/A</v>
      </c>
      <c r="F264" t="e">
        <f>VLOOKUP(A264,[4]liver!$A:$A,1,FALSE)</f>
        <v>#N/A</v>
      </c>
      <c r="H264">
        <f t="shared" si="4"/>
        <v>0</v>
      </c>
    </row>
    <row r="265" spans="1:8" x14ac:dyDescent="0.2">
      <c r="A265" s="1" t="s">
        <v>206</v>
      </c>
      <c r="B265" t="e">
        <f>VLOOKUP(A265,'[1]Table S2'!$B$3:$B$509,1,FALSE)</f>
        <v>#N/A</v>
      </c>
      <c r="C265" t="e">
        <f>VLOOKUP(A265,'[1]Table S5'!$B$3:$B$641,1,FALSE)</f>
        <v>#N/A</v>
      </c>
      <c r="D265" t="e">
        <f>VLOOKUP(A265,[2]Sheet2!$A:$A,1,FALSE)</f>
        <v>#N/A</v>
      </c>
      <c r="E265" t="e">
        <f>VLOOKUP(A265,[3]cortex!$A:$A,1,FALSE)</f>
        <v>#N/A</v>
      </c>
      <c r="F265" t="e">
        <f>VLOOKUP(A265,[4]liver!$A:$A,1,FALSE)</f>
        <v>#N/A</v>
      </c>
      <c r="H265">
        <f t="shared" si="4"/>
        <v>0</v>
      </c>
    </row>
    <row r="266" spans="1:8" x14ac:dyDescent="0.2">
      <c r="A266" s="1" t="s">
        <v>207</v>
      </c>
      <c r="B266" t="e">
        <f>VLOOKUP(A266,'[1]Table S2'!$B$3:$B$509,1,FALSE)</f>
        <v>#N/A</v>
      </c>
      <c r="C266" t="e">
        <f>VLOOKUP(A266,'[1]Table S5'!$B$3:$B$641,1,FALSE)</f>
        <v>#N/A</v>
      </c>
      <c r="D266" t="e">
        <f>VLOOKUP(A266,[2]Sheet2!$A:$A,1,FALSE)</f>
        <v>#N/A</v>
      </c>
      <c r="E266" t="e">
        <f>VLOOKUP(A266,[3]cortex!$A:$A,1,FALSE)</f>
        <v>#N/A</v>
      </c>
      <c r="F266" t="e">
        <f>VLOOKUP(A266,[4]liver!$A:$A,1,FALSE)</f>
        <v>#N/A</v>
      </c>
      <c r="H266">
        <f t="shared" si="4"/>
        <v>0</v>
      </c>
    </row>
    <row r="267" spans="1:8" x14ac:dyDescent="0.2">
      <c r="A267" s="1" t="s">
        <v>208</v>
      </c>
      <c r="B267" t="e">
        <f>VLOOKUP(A267,'[1]Table S2'!$B$3:$B$509,1,FALSE)</f>
        <v>#N/A</v>
      </c>
      <c r="C267" t="e">
        <f>VLOOKUP(A267,'[1]Table S5'!$B$3:$B$641,1,FALSE)</f>
        <v>#N/A</v>
      </c>
      <c r="D267" t="e">
        <f>VLOOKUP(A267,[2]Sheet2!$A:$A,1,FALSE)</f>
        <v>#N/A</v>
      </c>
      <c r="E267" t="e">
        <f>VLOOKUP(A267,[3]cortex!$A:$A,1,FALSE)</f>
        <v>#N/A</v>
      </c>
      <c r="F267" t="e">
        <f>VLOOKUP(A267,[4]liver!$A:$A,1,FALSE)</f>
        <v>#N/A</v>
      </c>
      <c r="H267">
        <f t="shared" si="4"/>
        <v>0</v>
      </c>
    </row>
    <row r="268" spans="1:8" x14ac:dyDescent="0.2">
      <c r="A268" s="1" t="s">
        <v>209</v>
      </c>
      <c r="B268" t="e">
        <f>VLOOKUP(A268,'[1]Table S2'!$B$3:$B$509,1,FALSE)</f>
        <v>#N/A</v>
      </c>
      <c r="C268" t="e">
        <f>VLOOKUP(A268,'[1]Table S5'!$B$3:$B$641,1,FALSE)</f>
        <v>#N/A</v>
      </c>
      <c r="D268" t="e">
        <f>VLOOKUP(A268,[2]Sheet2!$A:$A,1,FALSE)</f>
        <v>#N/A</v>
      </c>
      <c r="E268" t="e">
        <f>VLOOKUP(A268,[3]cortex!$A:$A,1,FALSE)</f>
        <v>#N/A</v>
      </c>
      <c r="F268" t="e">
        <f>VLOOKUP(A268,[4]liver!$A:$A,1,FALSE)</f>
        <v>#N/A</v>
      </c>
      <c r="H268">
        <f t="shared" si="4"/>
        <v>0</v>
      </c>
    </row>
    <row r="269" spans="1:8" x14ac:dyDescent="0.2">
      <c r="A269" s="1" t="s">
        <v>210</v>
      </c>
      <c r="B269" t="e">
        <f>VLOOKUP(A269,'[1]Table S2'!$B$3:$B$509,1,FALSE)</f>
        <v>#N/A</v>
      </c>
      <c r="C269" t="e">
        <f>VLOOKUP(A269,'[1]Table S5'!$B$3:$B$641,1,FALSE)</f>
        <v>#N/A</v>
      </c>
      <c r="D269" t="e">
        <f>VLOOKUP(A269,[2]Sheet2!$A:$A,1,FALSE)</f>
        <v>#N/A</v>
      </c>
      <c r="E269" t="e">
        <f>VLOOKUP(A269,[3]cortex!$A:$A,1,FALSE)</f>
        <v>#N/A</v>
      </c>
      <c r="F269" t="e">
        <f>VLOOKUP(A269,[4]liver!$A:$A,1,FALSE)</f>
        <v>#N/A</v>
      </c>
      <c r="H269">
        <f t="shared" si="4"/>
        <v>0</v>
      </c>
    </row>
    <row r="270" spans="1:8" x14ac:dyDescent="0.2">
      <c r="A270" s="1" t="s">
        <v>211</v>
      </c>
      <c r="B270" t="e">
        <f>VLOOKUP(A270,'[1]Table S2'!$B$3:$B$509,1,FALSE)</f>
        <v>#N/A</v>
      </c>
      <c r="C270" t="e">
        <f>VLOOKUP(A270,'[1]Table S5'!$B$3:$B$641,1,FALSE)</f>
        <v>#N/A</v>
      </c>
      <c r="D270" t="e">
        <f>VLOOKUP(A270,[2]Sheet2!$A:$A,1,FALSE)</f>
        <v>#N/A</v>
      </c>
      <c r="E270" t="e">
        <f>VLOOKUP(A270,[3]cortex!$A:$A,1,FALSE)</f>
        <v>#N/A</v>
      </c>
      <c r="F270" t="e">
        <f>VLOOKUP(A270,[4]liver!$A:$A,1,FALSE)</f>
        <v>#N/A</v>
      </c>
      <c r="H270">
        <f t="shared" si="4"/>
        <v>0</v>
      </c>
    </row>
    <row r="271" spans="1:8" x14ac:dyDescent="0.2">
      <c r="A271" s="1" t="s">
        <v>212</v>
      </c>
      <c r="B271" t="e">
        <f>VLOOKUP(A271,'[1]Table S2'!$B$3:$B$509,1,FALSE)</f>
        <v>#N/A</v>
      </c>
      <c r="C271" t="e">
        <f>VLOOKUP(A271,'[1]Table S5'!$B$3:$B$641,1,FALSE)</f>
        <v>#N/A</v>
      </c>
      <c r="D271" t="e">
        <f>VLOOKUP(A271,[2]Sheet2!$A:$A,1,FALSE)</f>
        <v>#N/A</v>
      </c>
      <c r="E271" t="e">
        <f>VLOOKUP(A271,[3]cortex!$A:$A,1,FALSE)</f>
        <v>#N/A</v>
      </c>
      <c r="F271" t="e">
        <f>VLOOKUP(A271,[4]liver!$A:$A,1,FALSE)</f>
        <v>#N/A</v>
      </c>
      <c r="H271">
        <f t="shared" si="4"/>
        <v>0</v>
      </c>
    </row>
    <row r="272" spans="1:8" x14ac:dyDescent="0.2">
      <c r="A272" s="1" t="s">
        <v>213</v>
      </c>
      <c r="B272" t="e">
        <f>VLOOKUP(A272,'[1]Table S2'!$B$3:$B$509,1,FALSE)</f>
        <v>#N/A</v>
      </c>
      <c r="C272" t="e">
        <f>VLOOKUP(A272,'[1]Table S5'!$B$3:$B$641,1,FALSE)</f>
        <v>#N/A</v>
      </c>
      <c r="D272" t="e">
        <f>VLOOKUP(A272,[2]Sheet2!$A:$A,1,FALSE)</f>
        <v>#N/A</v>
      </c>
      <c r="E272" t="e">
        <f>VLOOKUP(A272,[3]cortex!$A:$A,1,FALSE)</f>
        <v>#N/A</v>
      </c>
      <c r="F272" t="e">
        <f>VLOOKUP(A272,[4]liver!$A:$A,1,FALSE)</f>
        <v>#N/A</v>
      </c>
      <c r="H272">
        <f t="shared" si="4"/>
        <v>0</v>
      </c>
    </row>
    <row r="273" spans="1:8" x14ac:dyDescent="0.2">
      <c r="A273" s="1" t="s">
        <v>214</v>
      </c>
      <c r="B273" t="e">
        <f>VLOOKUP(A273,'[1]Table S2'!$B$3:$B$509,1,FALSE)</f>
        <v>#N/A</v>
      </c>
      <c r="C273" t="e">
        <f>VLOOKUP(A273,'[1]Table S5'!$B$3:$B$641,1,FALSE)</f>
        <v>#N/A</v>
      </c>
      <c r="D273" t="e">
        <f>VLOOKUP(A273,[2]Sheet2!$A:$A,1,FALSE)</f>
        <v>#N/A</v>
      </c>
      <c r="E273" t="e">
        <f>VLOOKUP(A273,[3]cortex!$A:$A,1,FALSE)</f>
        <v>#N/A</v>
      </c>
      <c r="F273" t="e">
        <f>VLOOKUP(A273,[4]liver!$A:$A,1,FALSE)</f>
        <v>#N/A</v>
      </c>
      <c r="H273">
        <f t="shared" si="4"/>
        <v>0</v>
      </c>
    </row>
    <row r="274" spans="1:8" x14ac:dyDescent="0.2">
      <c r="A274" s="1" t="s">
        <v>216</v>
      </c>
      <c r="B274" t="e">
        <f>VLOOKUP(A274,'[1]Table S2'!$B$3:$B$509,1,FALSE)</f>
        <v>#N/A</v>
      </c>
      <c r="C274" t="e">
        <f>VLOOKUP(A274,'[1]Table S5'!$B$3:$B$641,1,FALSE)</f>
        <v>#N/A</v>
      </c>
      <c r="D274" t="e">
        <f>VLOOKUP(A274,[2]Sheet2!$A:$A,1,FALSE)</f>
        <v>#N/A</v>
      </c>
      <c r="E274" t="e">
        <f>VLOOKUP(A274,[3]cortex!$A:$A,1,FALSE)</f>
        <v>#N/A</v>
      </c>
      <c r="F274" t="e">
        <f>VLOOKUP(A274,[4]liver!$A:$A,1,FALSE)</f>
        <v>#N/A</v>
      </c>
      <c r="H274">
        <f t="shared" si="4"/>
        <v>0</v>
      </c>
    </row>
    <row r="275" spans="1:8" x14ac:dyDescent="0.2">
      <c r="A275" s="1" t="s">
        <v>217</v>
      </c>
      <c r="B275" t="e">
        <f>VLOOKUP(A275,'[1]Table S2'!$B$3:$B$509,1,FALSE)</f>
        <v>#N/A</v>
      </c>
      <c r="C275" t="e">
        <f>VLOOKUP(A275,'[1]Table S5'!$B$3:$B$641,1,FALSE)</f>
        <v>#N/A</v>
      </c>
      <c r="D275" t="e">
        <f>VLOOKUP(A275,[2]Sheet2!$A:$A,1,FALSE)</f>
        <v>#N/A</v>
      </c>
      <c r="E275" t="e">
        <f>VLOOKUP(A275,[3]cortex!$A:$A,1,FALSE)</f>
        <v>#N/A</v>
      </c>
      <c r="F275" t="e">
        <f>VLOOKUP(A275,[4]liver!$A:$A,1,FALSE)</f>
        <v>#N/A</v>
      </c>
      <c r="H275">
        <f t="shared" si="4"/>
        <v>0</v>
      </c>
    </row>
    <row r="276" spans="1:8" x14ac:dyDescent="0.2">
      <c r="A276" s="1" t="s">
        <v>218</v>
      </c>
      <c r="B276" t="e">
        <f>VLOOKUP(A276,'[1]Table S2'!$B$3:$B$509,1,FALSE)</f>
        <v>#N/A</v>
      </c>
      <c r="C276" t="e">
        <f>VLOOKUP(A276,'[1]Table S5'!$B$3:$B$641,1,FALSE)</f>
        <v>#N/A</v>
      </c>
      <c r="D276" t="e">
        <f>VLOOKUP(A276,[2]Sheet2!$A:$A,1,FALSE)</f>
        <v>#N/A</v>
      </c>
      <c r="E276" t="e">
        <f>VLOOKUP(A276,[3]cortex!$A:$A,1,FALSE)</f>
        <v>#N/A</v>
      </c>
      <c r="F276" t="e">
        <f>VLOOKUP(A276,[4]liver!$A:$A,1,FALSE)</f>
        <v>#N/A</v>
      </c>
      <c r="H276">
        <f t="shared" si="4"/>
        <v>0</v>
      </c>
    </row>
    <row r="277" spans="1:8" x14ac:dyDescent="0.2">
      <c r="A277" s="1" t="s">
        <v>219</v>
      </c>
      <c r="B277" t="e">
        <f>VLOOKUP(A277,'[1]Table S2'!$B$3:$B$509,1,FALSE)</f>
        <v>#N/A</v>
      </c>
      <c r="C277" t="e">
        <f>VLOOKUP(A277,'[1]Table S5'!$B$3:$B$641,1,FALSE)</f>
        <v>#N/A</v>
      </c>
      <c r="D277" t="e">
        <f>VLOOKUP(A277,[2]Sheet2!$A:$A,1,FALSE)</f>
        <v>#N/A</v>
      </c>
      <c r="E277" t="e">
        <f>VLOOKUP(A277,[3]cortex!$A:$A,1,FALSE)</f>
        <v>#N/A</v>
      </c>
      <c r="F277" t="e">
        <f>VLOOKUP(A277,[4]liver!$A:$A,1,FALSE)</f>
        <v>#N/A</v>
      </c>
      <c r="H277">
        <f t="shared" si="4"/>
        <v>0</v>
      </c>
    </row>
    <row r="278" spans="1:8" x14ac:dyDescent="0.2">
      <c r="A278" s="1" t="s">
        <v>223</v>
      </c>
      <c r="B278" t="e">
        <f>VLOOKUP(A278,'[1]Table S2'!$B$3:$B$509,1,FALSE)</f>
        <v>#N/A</v>
      </c>
      <c r="C278" t="e">
        <f>VLOOKUP(A278,'[1]Table S5'!$B$3:$B$641,1,FALSE)</f>
        <v>#N/A</v>
      </c>
      <c r="D278" t="e">
        <f>VLOOKUP(A278,[2]Sheet2!$A:$A,1,FALSE)</f>
        <v>#N/A</v>
      </c>
      <c r="E278" t="e">
        <f>VLOOKUP(A278,[3]cortex!$A:$A,1,FALSE)</f>
        <v>#N/A</v>
      </c>
      <c r="F278" t="e">
        <f>VLOOKUP(A278,[4]liver!$A:$A,1,FALSE)</f>
        <v>#N/A</v>
      </c>
      <c r="H278">
        <f t="shared" si="4"/>
        <v>0</v>
      </c>
    </row>
    <row r="279" spans="1:8" x14ac:dyDescent="0.2">
      <c r="A279" s="1" t="s">
        <v>224</v>
      </c>
      <c r="B279" t="e">
        <f>VLOOKUP(A279,'[1]Table S2'!$B$3:$B$509,1,FALSE)</f>
        <v>#N/A</v>
      </c>
      <c r="C279" t="e">
        <f>VLOOKUP(A279,'[1]Table S5'!$B$3:$B$641,1,FALSE)</f>
        <v>#N/A</v>
      </c>
      <c r="D279" t="e">
        <f>VLOOKUP(A279,[2]Sheet2!$A:$A,1,FALSE)</f>
        <v>#N/A</v>
      </c>
      <c r="E279" t="e">
        <f>VLOOKUP(A279,[3]cortex!$A:$A,1,FALSE)</f>
        <v>#N/A</v>
      </c>
      <c r="F279" t="e">
        <f>VLOOKUP(A279,[4]liver!$A:$A,1,FALSE)</f>
        <v>#N/A</v>
      </c>
      <c r="H279">
        <f t="shared" si="4"/>
        <v>0</v>
      </c>
    </row>
    <row r="280" spans="1:8" x14ac:dyDescent="0.2">
      <c r="A280" s="1" t="s">
        <v>225</v>
      </c>
      <c r="B280" t="e">
        <f>VLOOKUP(A280,'[1]Table S2'!$B$3:$B$509,1,FALSE)</f>
        <v>#N/A</v>
      </c>
      <c r="C280" t="e">
        <f>VLOOKUP(A280,'[1]Table S5'!$B$3:$B$641,1,FALSE)</f>
        <v>#N/A</v>
      </c>
      <c r="D280" t="e">
        <f>VLOOKUP(A280,[2]Sheet2!$A:$A,1,FALSE)</f>
        <v>#N/A</v>
      </c>
      <c r="E280" t="e">
        <f>VLOOKUP(A280,[3]cortex!$A:$A,1,FALSE)</f>
        <v>#N/A</v>
      </c>
      <c r="F280" t="e">
        <f>VLOOKUP(A280,[4]liver!$A:$A,1,FALSE)</f>
        <v>#N/A</v>
      </c>
      <c r="H280">
        <f t="shared" si="4"/>
        <v>0</v>
      </c>
    </row>
    <row r="281" spans="1:8" x14ac:dyDescent="0.2">
      <c r="A281" s="1" t="s">
        <v>226</v>
      </c>
      <c r="B281" t="e">
        <f>VLOOKUP(A281,'[1]Table S2'!$B$3:$B$509,1,FALSE)</f>
        <v>#N/A</v>
      </c>
      <c r="C281" t="e">
        <f>VLOOKUP(A281,'[1]Table S5'!$B$3:$B$641,1,FALSE)</f>
        <v>#N/A</v>
      </c>
      <c r="D281" t="e">
        <f>VLOOKUP(A281,[2]Sheet2!$A:$A,1,FALSE)</f>
        <v>#N/A</v>
      </c>
      <c r="E281" t="e">
        <f>VLOOKUP(A281,[3]cortex!$A:$A,1,FALSE)</f>
        <v>#N/A</v>
      </c>
      <c r="F281" t="e">
        <f>VLOOKUP(A281,[4]liver!$A:$A,1,FALSE)</f>
        <v>#N/A</v>
      </c>
      <c r="H281">
        <f t="shared" si="4"/>
        <v>0</v>
      </c>
    </row>
    <row r="282" spans="1:8" x14ac:dyDescent="0.2">
      <c r="A282" s="1" t="s">
        <v>227</v>
      </c>
      <c r="B282" t="e">
        <f>VLOOKUP(A282,'[1]Table S2'!$B$3:$B$509,1,FALSE)</f>
        <v>#N/A</v>
      </c>
      <c r="C282" t="e">
        <f>VLOOKUP(A282,'[1]Table S5'!$B$3:$B$641,1,FALSE)</f>
        <v>#N/A</v>
      </c>
      <c r="D282" t="e">
        <f>VLOOKUP(A282,[2]Sheet2!$A:$A,1,FALSE)</f>
        <v>#N/A</v>
      </c>
      <c r="E282" t="e">
        <f>VLOOKUP(A282,[3]cortex!$A:$A,1,FALSE)</f>
        <v>#N/A</v>
      </c>
      <c r="F282" t="e">
        <f>VLOOKUP(A282,[4]liver!$A:$A,1,FALSE)</f>
        <v>#N/A</v>
      </c>
      <c r="H282">
        <f t="shared" si="4"/>
        <v>0</v>
      </c>
    </row>
    <row r="283" spans="1:8" x14ac:dyDescent="0.2">
      <c r="A283" s="1" t="s">
        <v>228</v>
      </c>
      <c r="B283" t="e">
        <f>VLOOKUP(A283,'[1]Table S2'!$B$3:$B$509,1,FALSE)</f>
        <v>#N/A</v>
      </c>
      <c r="C283" t="e">
        <f>VLOOKUP(A283,'[1]Table S5'!$B$3:$B$641,1,FALSE)</f>
        <v>#N/A</v>
      </c>
      <c r="D283" t="e">
        <f>VLOOKUP(A283,[2]Sheet2!$A:$A,1,FALSE)</f>
        <v>#N/A</v>
      </c>
      <c r="E283" t="e">
        <f>VLOOKUP(A283,[3]cortex!$A:$A,1,FALSE)</f>
        <v>#N/A</v>
      </c>
      <c r="F283" t="e">
        <f>VLOOKUP(A283,[4]liver!$A:$A,1,FALSE)</f>
        <v>#N/A</v>
      </c>
      <c r="H283">
        <f t="shared" si="4"/>
        <v>0</v>
      </c>
    </row>
    <row r="284" spans="1:8" x14ac:dyDescent="0.2">
      <c r="A284" s="1" t="s">
        <v>229</v>
      </c>
      <c r="B284" t="e">
        <f>VLOOKUP(A284,'[1]Table S2'!$B$3:$B$509,1,FALSE)</f>
        <v>#N/A</v>
      </c>
      <c r="C284" t="e">
        <f>VLOOKUP(A284,'[1]Table S5'!$B$3:$B$641,1,FALSE)</f>
        <v>#N/A</v>
      </c>
      <c r="D284" t="e">
        <f>VLOOKUP(A284,[2]Sheet2!$A:$A,1,FALSE)</f>
        <v>#N/A</v>
      </c>
      <c r="E284" t="e">
        <f>VLOOKUP(A284,[3]cortex!$A:$A,1,FALSE)</f>
        <v>#N/A</v>
      </c>
      <c r="F284" t="e">
        <f>VLOOKUP(A284,[4]liver!$A:$A,1,FALSE)</f>
        <v>#N/A</v>
      </c>
      <c r="H284">
        <f t="shared" si="4"/>
        <v>0</v>
      </c>
    </row>
    <row r="285" spans="1:8" x14ac:dyDescent="0.2">
      <c r="A285" s="1" t="s">
        <v>230</v>
      </c>
      <c r="B285" t="e">
        <f>VLOOKUP(A285,'[1]Table S2'!$B$3:$B$509,1,FALSE)</f>
        <v>#N/A</v>
      </c>
      <c r="C285" t="e">
        <f>VLOOKUP(A285,'[1]Table S5'!$B$3:$B$641,1,FALSE)</f>
        <v>#N/A</v>
      </c>
      <c r="D285" t="e">
        <f>VLOOKUP(A285,[2]Sheet2!$A:$A,1,FALSE)</f>
        <v>#N/A</v>
      </c>
      <c r="E285" t="e">
        <f>VLOOKUP(A285,[3]cortex!$A:$A,1,FALSE)</f>
        <v>#N/A</v>
      </c>
      <c r="F285" t="e">
        <f>VLOOKUP(A285,[4]liver!$A:$A,1,FALSE)</f>
        <v>#N/A</v>
      </c>
      <c r="H285">
        <f t="shared" si="4"/>
        <v>0</v>
      </c>
    </row>
    <row r="286" spans="1:8" x14ac:dyDescent="0.2">
      <c r="A286" s="1" t="s">
        <v>231</v>
      </c>
      <c r="B286" t="e">
        <f>VLOOKUP(A286,'[1]Table S2'!$B$3:$B$509,1,FALSE)</f>
        <v>#N/A</v>
      </c>
      <c r="C286" t="e">
        <f>VLOOKUP(A286,'[1]Table S5'!$B$3:$B$641,1,FALSE)</f>
        <v>#N/A</v>
      </c>
      <c r="D286" t="e">
        <f>VLOOKUP(A286,[2]Sheet2!$A:$A,1,FALSE)</f>
        <v>#N/A</v>
      </c>
      <c r="E286" t="e">
        <f>VLOOKUP(A286,[3]cortex!$A:$A,1,FALSE)</f>
        <v>#N/A</v>
      </c>
      <c r="F286" t="e">
        <f>VLOOKUP(A286,[4]liver!$A:$A,1,FALSE)</f>
        <v>#N/A</v>
      </c>
      <c r="H286">
        <f t="shared" si="4"/>
        <v>0</v>
      </c>
    </row>
    <row r="287" spans="1:8" x14ac:dyDescent="0.2">
      <c r="A287" s="1" t="s">
        <v>232</v>
      </c>
      <c r="B287" t="e">
        <f>VLOOKUP(A287,'[1]Table S2'!$B$3:$B$509,1,FALSE)</f>
        <v>#N/A</v>
      </c>
      <c r="C287" t="e">
        <f>VLOOKUP(A287,'[1]Table S5'!$B$3:$B$641,1,FALSE)</f>
        <v>#N/A</v>
      </c>
      <c r="D287" t="e">
        <f>VLOOKUP(A287,[2]Sheet2!$A:$A,1,FALSE)</f>
        <v>#N/A</v>
      </c>
      <c r="E287" t="e">
        <f>VLOOKUP(A287,[3]cortex!$A:$A,1,FALSE)</f>
        <v>#N/A</v>
      </c>
      <c r="F287" t="e">
        <f>VLOOKUP(A287,[4]liver!$A:$A,1,FALSE)</f>
        <v>#N/A</v>
      </c>
      <c r="H287">
        <f t="shared" si="4"/>
        <v>0</v>
      </c>
    </row>
    <row r="288" spans="1:8" x14ac:dyDescent="0.2">
      <c r="A288" s="1" t="s">
        <v>233</v>
      </c>
      <c r="B288" t="e">
        <f>VLOOKUP(A288,'[1]Table S2'!$B$3:$B$509,1,FALSE)</f>
        <v>#N/A</v>
      </c>
      <c r="C288" t="e">
        <f>VLOOKUP(A288,'[1]Table S5'!$B$3:$B$641,1,FALSE)</f>
        <v>#N/A</v>
      </c>
      <c r="D288" t="e">
        <f>VLOOKUP(A288,[2]Sheet2!$A:$A,1,FALSE)</f>
        <v>#N/A</v>
      </c>
      <c r="E288" t="e">
        <f>VLOOKUP(A288,[3]cortex!$A:$A,1,FALSE)</f>
        <v>#N/A</v>
      </c>
      <c r="F288" t="e">
        <f>VLOOKUP(A288,[4]liver!$A:$A,1,FALSE)</f>
        <v>#N/A</v>
      </c>
      <c r="H288">
        <f t="shared" si="4"/>
        <v>0</v>
      </c>
    </row>
    <row r="289" spans="1:8" x14ac:dyDescent="0.2">
      <c r="A289" s="1" t="s">
        <v>234</v>
      </c>
      <c r="B289" t="e">
        <f>VLOOKUP(A289,'[1]Table S2'!$B$3:$B$509,1,FALSE)</f>
        <v>#N/A</v>
      </c>
      <c r="C289" t="e">
        <f>VLOOKUP(A289,'[1]Table S5'!$B$3:$B$641,1,FALSE)</f>
        <v>#N/A</v>
      </c>
      <c r="D289" t="e">
        <f>VLOOKUP(A289,[2]Sheet2!$A:$A,1,FALSE)</f>
        <v>#N/A</v>
      </c>
      <c r="E289" t="e">
        <f>VLOOKUP(A289,[3]cortex!$A:$A,1,FALSE)</f>
        <v>#N/A</v>
      </c>
      <c r="F289" t="e">
        <f>VLOOKUP(A289,[4]liver!$A:$A,1,FALSE)</f>
        <v>#N/A</v>
      </c>
      <c r="H289">
        <f t="shared" si="4"/>
        <v>0</v>
      </c>
    </row>
    <row r="290" spans="1:8" x14ac:dyDescent="0.2">
      <c r="A290" s="1" t="s">
        <v>235</v>
      </c>
      <c r="B290" t="e">
        <f>VLOOKUP(A290,'[1]Table S2'!$B$3:$B$509,1,FALSE)</f>
        <v>#N/A</v>
      </c>
      <c r="C290" t="e">
        <f>VLOOKUP(A290,'[1]Table S5'!$B$3:$B$641,1,FALSE)</f>
        <v>#N/A</v>
      </c>
      <c r="D290" t="e">
        <f>VLOOKUP(A290,[2]Sheet2!$A:$A,1,FALSE)</f>
        <v>#N/A</v>
      </c>
      <c r="E290" t="e">
        <f>VLOOKUP(A290,[3]cortex!$A:$A,1,FALSE)</f>
        <v>#N/A</v>
      </c>
      <c r="F290" t="e">
        <f>VLOOKUP(A290,[4]liver!$A:$A,1,FALSE)</f>
        <v>#N/A</v>
      </c>
      <c r="H290">
        <f t="shared" si="4"/>
        <v>0</v>
      </c>
    </row>
    <row r="291" spans="1:8" x14ac:dyDescent="0.2">
      <c r="A291" s="1" t="s">
        <v>236</v>
      </c>
      <c r="B291" t="e">
        <f>VLOOKUP(A291,'[1]Table S2'!$B$3:$B$509,1,FALSE)</f>
        <v>#N/A</v>
      </c>
      <c r="C291" t="e">
        <f>VLOOKUP(A291,'[1]Table S5'!$B$3:$B$641,1,FALSE)</f>
        <v>#N/A</v>
      </c>
      <c r="D291" t="e">
        <f>VLOOKUP(A291,[2]Sheet2!$A:$A,1,FALSE)</f>
        <v>#N/A</v>
      </c>
      <c r="E291" t="e">
        <f>VLOOKUP(A291,[3]cortex!$A:$A,1,FALSE)</f>
        <v>#N/A</v>
      </c>
      <c r="F291" t="e">
        <f>VLOOKUP(A291,[4]liver!$A:$A,1,FALSE)</f>
        <v>#N/A</v>
      </c>
      <c r="H291">
        <f t="shared" si="4"/>
        <v>0</v>
      </c>
    </row>
    <row r="292" spans="1:8" x14ac:dyDescent="0.2">
      <c r="A292" s="1" t="s">
        <v>237</v>
      </c>
      <c r="B292" t="e">
        <f>VLOOKUP(A292,'[1]Table S2'!$B$3:$B$509,1,FALSE)</f>
        <v>#N/A</v>
      </c>
      <c r="C292" t="e">
        <f>VLOOKUP(A292,'[1]Table S5'!$B$3:$B$641,1,FALSE)</f>
        <v>#N/A</v>
      </c>
      <c r="D292" t="e">
        <f>VLOOKUP(A292,[2]Sheet2!$A:$A,1,FALSE)</f>
        <v>#N/A</v>
      </c>
      <c r="E292" t="e">
        <f>VLOOKUP(A292,[3]cortex!$A:$A,1,FALSE)</f>
        <v>#N/A</v>
      </c>
      <c r="F292" t="e">
        <f>VLOOKUP(A292,[4]liver!$A:$A,1,FALSE)</f>
        <v>#N/A</v>
      </c>
      <c r="H292">
        <f t="shared" si="4"/>
        <v>0</v>
      </c>
    </row>
    <row r="293" spans="1:8" x14ac:dyDescent="0.2">
      <c r="A293" s="1" t="s">
        <v>238</v>
      </c>
      <c r="B293" t="e">
        <f>VLOOKUP(A293,'[1]Table S2'!$B$3:$B$509,1,FALSE)</f>
        <v>#N/A</v>
      </c>
      <c r="C293" t="e">
        <f>VLOOKUP(A293,'[1]Table S5'!$B$3:$B$641,1,FALSE)</f>
        <v>#N/A</v>
      </c>
      <c r="D293" t="e">
        <f>VLOOKUP(A293,[2]Sheet2!$A:$A,1,FALSE)</f>
        <v>#N/A</v>
      </c>
      <c r="E293" t="e">
        <f>VLOOKUP(A293,[3]cortex!$A:$A,1,FALSE)</f>
        <v>#N/A</v>
      </c>
      <c r="F293" t="e">
        <f>VLOOKUP(A293,[4]liver!$A:$A,1,FALSE)</f>
        <v>#N/A</v>
      </c>
      <c r="H293">
        <f t="shared" si="4"/>
        <v>0</v>
      </c>
    </row>
    <row r="294" spans="1:8" x14ac:dyDescent="0.2">
      <c r="A294" s="1" t="s">
        <v>239</v>
      </c>
      <c r="B294" t="e">
        <f>VLOOKUP(A294,'[1]Table S2'!$B$3:$B$509,1,FALSE)</f>
        <v>#N/A</v>
      </c>
      <c r="C294" t="e">
        <f>VLOOKUP(A294,'[1]Table S5'!$B$3:$B$641,1,FALSE)</f>
        <v>#N/A</v>
      </c>
      <c r="D294" t="e">
        <f>VLOOKUP(A294,[2]Sheet2!$A:$A,1,FALSE)</f>
        <v>#N/A</v>
      </c>
      <c r="E294" t="e">
        <f>VLOOKUP(A294,[3]cortex!$A:$A,1,FALSE)</f>
        <v>#N/A</v>
      </c>
      <c r="F294" t="e">
        <f>VLOOKUP(A294,[4]liver!$A:$A,1,FALSE)</f>
        <v>#N/A</v>
      </c>
      <c r="H294">
        <f t="shared" si="4"/>
        <v>0</v>
      </c>
    </row>
    <row r="295" spans="1:8" x14ac:dyDescent="0.2">
      <c r="A295" s="1" t="s">
        <v>240</v>
      </c>
      <c r="B295" t="e">
        <f>VLOOKUP(A295,'[1]Table S2'!$B$3:$B$509,1,FALSE)</f>
        <v>#N/A</v>
      </c>
      <c r="C295" t="e">
        <f>VLOOKUP(A295,'[1]Table S5'!$B$3:$B$641,1,FALSE)</f>
        <v>#N/A</v>
      </c>
      <c r="D295" t="e">
        <f>VLOOKUP(A295,[2]Sheet2!$A:$A,1,FALSE)</f>
        <v>#N/A</v>
      </c>
      <c r="E295" t="e">
        <f>VLOOKUP(A295,[3]cortex!$A:$A,1,FALSE)</f>
        <v>#N/A</v>
      </c>
      <c r="F295" t="e">
        <f>VLOOKUP(A295,[4]liver!$A:$A,1,FALSE)</f>
        <v>#N/A</v>
      </c>
      <c r="H295">
        <f t="shared" si="4"/>
        <v>0</v>
      </c>
    </row>
    <row r="296" spans="1:8" x14ac:dyDescent="0.2">
      <c r="A296" s="1" t="s">
        <v>241</v>
      </c>
      <c r="B296" t="e">
        <f>VLOOKUP(A296,'[1]Table S2'!$B$3:$B$509,1,FALSE)</f>
        <v>#N/A</v>
      </c>
      <c r="C296" t="e">
        <f>VLOOKUP(A296,'[1]Table S5'!$B$3:$B$641,1,FALSE)</f>
        <v>#N/A</v>
      </c>
      <c r="D296" t="e">
        <f>VLOOKUP(A296,[2]Sheet2!$A:$A,1,FALSE)</f>
        <v>#N/A</v>
      </c>
      <c r="E296" t="e">
        <f>VLOOKUP(A296,[3]cortex!$A:$A,1,FALSE)</f>
        <v>#N/A</v>
      </c>
      <c r="F296" t="e">
        <f>VLOOKUP(A296,[4]liver!$A:$A,1,FALSE)</f>
        <v>#N/A</v>
      </c>
      <c r="H296">
        <f t="shared" si="4"/>
        <v>0</v>
      </c>
    </row>
    <row r="297" spans="1:8" x14ac:dyDescent="0.2">
      <c r="A297" s="1" t="s">
        <v>242</v>
      </c>
      <c r="B297" t="e">
        <f>VLOOKUP(A297,'[1]Table S2'!$B$3:$B$509,1,FALSE)</f>
        <v>#N/A</v>
      </c>
      <c r="C297" t="e">
        <f>VLOOKUP(A297,'[1]Table S5'!$B$3:$B$641,1,FALSE)</f>
        <v>#N/A</v>
      </c>
      <c r="D297" t="e">
        <f>VLOOKUP(A297,[2]Sheet2!$A:$A,1,FALSE)</f>
        <v>#N/A</v>
      </c>
      <c r="E297" t="e">
        <f>VLOOKUP(A297,[3]cortex!$A:$A,1,FALSE)</f>
        <v>#N/A</v>
      </c>
      <c r="F297" t="e">
        <f>VLOOKUP(A297,[4]liver!$A:$A,1,FALSE)</f>
        <v>#N/A</v>
      </c>
      <c r="H297">
        <f t="shared" si="4"/>
        <v>0</v>
      </c>
    </row>
    <row r="298" spans="1:8" x14ac:dyDescent="0.2">
      <c r="A298" s="1" t="s">
        <v>243</v>
      </c>
      <c r="B298" t="e">
        <f>VLOOKUP(A298,'[1]Table S2'!$B$3:$B$509,1,FALSE)</f>
        <v>#N/A</v>
      </c>
      <c r="C298" t="e">
        <f>VLOOKUP(A298,'[1]Table S5'!$B$3:$B$641,1,FALSE)</f>
        <v>#N/A</v>
      </c>
      <c r="D298" t="e">
        <f>VLOOKUP(A298,[2]Sheet2!$A:$A,1,FALSE)</f>
        <v>#N/A</v>
      </c>
      <c r="E298" t="e">
        <f>VLOOKUP(A298,[3]cortex!$A:$A,1,FALSE)</f>
        <v>#N/A</v>
      </c>
      <c r="F298" t="e">
        <f>VLOOKUP(A298,[4]liver!$A:$A,1,FALSE)</f>
        <v>#N/A</v>
      </c>
      <c r="H298">
        <f t="shared" si="4"/>
        <v>0</v>
      </c>
    </row>
    <row r="299" spans="1:8" x14ac:dyDescent="0.2">
      <c r="A299" s="1" t="s">
        <v>244</v>
      </c>
      <c r="B299" t="e">
        <f>VLOOKUP(A299,'[1]Table S2'!$B$3:$B$509,1,FALSE)</f>
        <v>#N/A</v>
      </c>
      <c r="C299" t="e">
        <f>VLOOKUP(A299,'[1]Table S5'!$B$3:$B$641,1,FALSE)</f>
        <v>#N/A</v>
      </c>
      <c r="D299" t="e">
        <f>VLOOKUP(A299,[2]Sheet2!$A:$A,1,FALSE)</f>
        <v>#N/A</v>
      </c>
      <c r="E299" t="e">
        <f>VLOOKUP(A299,[3]cortex!$A:$A,1,FALSE)</f>
        <v>#N/A</v>
      </c>
      <c r="F299" t="e">
        <f>VLOOKUP(A299,[4]liver!$A:$A,1,FALSE)</f>
        <v>#N/A</v>
      </c>
      <c r="H299">
        <f t="shared" si="4"/>
        <v>0</v>
      </c>
    </row>
    <row r="300" spans="1:8" x14ac:dyDescent="0.2">
      <c r="A300" s="1" t="s">
        <v>245</v>
      </c>
      <c r="B300" t="e">
        <f>VLOOKUP(A300,'[1]Table S2'!$B$3:$B$509,1,FALSE)</f>
        <v>#N/A</v>
      </c>
      <c r="C300" t="e">
        <f>VLOOKUP(A300,'[1]Table S5'!$B$3:$B$641,1,FALSE)</f>
        <v>#N/A</v>
      </c>
      <c r="D300" t="e">
        <f>VLOOKUP(A300,[2]Sheet2!$A:$A,1,FALSE)</f>
        <v>#N/A</v>
      </c>
      <c r="E300" t="e">
        <f>VLOOKUP(A300,[3]cortex!$A:$A,1,FALSE)</f>
        <v>#N/A</v>
      </c>
      <c r="F300" t="e">
        <f>VLOOKUP(A300,[4]liver!$A:$A,1,FALSE)</f>
        <v>#N/A</v>
      </c>
      <c r="H300">
        <f t="shared" si="4"/>
        <v>0</v>
      </c>
    </row>
    <row r="301" spans="1:8" x14ac:dyDescent="0.2">
      <c r="A301" s="1" t="s">
        <v>246</v>
      </c>
      <c r="B301" t="e">
        <f>VLOOKUP(A301,'[1]Table S2'!$B$3:$B$509,1,FALSE)</f>
        <v>#N/A</v>
      </c>
      <c r="C301" t="e">
        <f>VLOOKUP(A301,'[1]Table S5'!$B$3:$B$641,1,FALSE)</f>
        <v>#N/A</v>
      </c>
      <c r="D301" t="e">
        <f>VLOOKUP(A301,[2]Sheet2!$A:$A,1,FALSE)</f>
        <v>#N/A</v>
      </c>
      <c r="E301" t="e">
        <f>VLOOKUP(A301,[3]cortex!$A:$A,1,FALSE)</f>
        <v>#N/A</v>
      </c>
      <c r="F301" t="e">
        <f>VLOOKUP(A301,[4]liver!$A:$A,1,FALSE)</f>
        <v>#N/A</v>
      </c>
      <c r="H301">
        <f t="shared" si="4"/>
        <v>0</v>
      </c>
    </row>
    <row r="302" spans="1:8" x14ac:dyDescent="0.2">
      <c r="A302" s="1" t="s">
        <v>247</v>
      </c>
      <c r="B302" t="e">
        <f>VLOOKUP(A302,'[1]Table S2'!$B$3:$B$509,1,FALSE)</f>
        <v>#N/A</v>
      </c>
      <c r="C302" t="e">
        <f>VLOOKUP(A302,'[1]Table S5'!$B$3:$B$641,1,FALSE)</f>
        <v>#N/A</v>
      </c>
      <c r="D302" t="e">
        <f>VLOOKUP(A302,[2]Sheet2!$A:$A,1,FALSE)</f>
        <v>#N/A</v>
      </c>
      <c r="E302" t="e">
        <f>VLOOKUP(A302,[3]cortex!$A:$A,1,FALSE)</f>
        <v>#N/A</v>
      </c>
      <c r="F302" t="e">
        <f>VLOOKUP(A302,[4]liver!$A:$A,1,FALSE)</f>
        <v>#N/A</v>
      </c>
      <c r="H302">
        <f t="shared" si="4"/>
        <v>0</v>
      </c>
    </row>
    <row r="303" spans="1:8" x14ac:dyDescent="0.2">
      <c r="A303" s="1" t="s">
        <v>248</v>
      </c>
      <c r="B303" t="e">
        <f>VLOOKUP(A303,'[1]Table S2'!$B$3:$B$509,1,FALSE)</f>
        <v>#N/A</v>
      </c>
      <c r="C303" t="e">
        <f>VLOOKUP(A303,'[1]Table S5'!$B$3:$B$641,1,FALSE)</f>
        <v>#N/A</v>
      </c>
      <c r="D303" t="e">
        <f>VLOOKUP(A303,[2]Sheet2!$A:$A,1,FALSE)</f>
        <v>#N/A</v>
      </c>
      <c r="E303" t="e">
        <f>VLOOKUP(A303,[3]cortex!$A:$A,1,FALSE)</f>
        <v>#N/A</v>
      </c>
      <c r="F303" t="e">
        <f>VLOOKUP(A303,[4]liver!$A:$A,1,FALSE)</f>
        <v>#N/A</v>
      </c>
      <c r="H303">
        <f t="shared" si="4"/>
        <v>0</v>
      </c>
    </row>
    <row r="304" spans="1:8" x14ac:dyDescent="0.2">
      <c r="A304" s="1" t="s">
        <v>249</v>
      </c>
      <c r="B304" t="e">
        <f>VLOOKUP(A304,'[1]Table S2'!$B$3:$B$509,1,FALSE)</f>
        <v>#N/A</v>
      </c>
      <c r="C304" t="e">
        <f>VLOOKUP(A304,'[1]Table S5'!$B$3:$B$641,1,FALSE)</f>
        <v>#N/A</v>
      </c>
      <c r="D304" t="e">
        <f>VLOOKUP(A304,[2]Sheet2!$A:$A,1,FALSE)</f>
        <v>#N/A</v>
      </c>
      <c r="E304" t="e">
        <f>VLOOKUP(A304,[3]cortex!$A:$A,1,FALSE)</f>
        <v>#N/A</v>
      </c>
      <c r="F304" t="e">
        <f>VLOOKUP(A304,[4]liver!$A:$A,1,FALSE)</f>
        <v>#N/A</v>
      </c>
      <c r="H304">
        <f t="shared" si="4"/>
        <v>0</v>
      </c>
    </row>
    <row r="305" spans="1:8" x14ac:dyDescent="0.2">
      <c r="A305" s="1" t="s">
        <v>250</v>
      </c>
      <c r="B305" t="e">
        <f>VLOOKUP(A305,'[1]Table S2'!$B$3:$B$509,1,FALSE)</f>
        <v>#N/A</v>
      </c>
      <c r="C305" t="e">
        <f>VLOOKUP(A305,'[1]Table S5'!$B$3:$B$641,1,FALSE)</f>
        <v>#N/A</v>
      </c>
      <c r="D305" t="e">
        <f>VLOOKUP(A305,[2]Sheet2!$A:$A,1,FALSE)</f>
        <v>#N/A</v>
      </c>
      <c r="E305" t="e">
        <f>VLOOKUP(A305,[3]cortex!$A:$A,1,FALSE)</f>
        <v>#N/A</v>
      </c>
      <c r="F305" t="e">
        <f>VLOOKUP(A305,[4]liver!$A:$A,1,FALSE)</f>
        <v>#N/A</v>
      </c>
      <c r="H305">
        <f t="shared" si="4"/>
        <v>0</v>
      </c>
    </row>
    <row r="306" spans="1:8" x14ac:dyDescent="0.2">
      <c r="A306" s="1" t="s">
        <v>251</v>
      </c>
      <c r="B306" t="e">
        <f>VLOOKUP(A306,'[1]Table S2'!$B$3:$B$509,1,FALSE)</f>
        <v>#N/A</v>
      </c>
      <c r="C306" t="e">
        <f>VLOOKUP(A306,'[1]Table S5'!$B$3:$B$641,1,FALSE)</f>
        <v>#N/A</v>
      </c>
      <c r="D306" t="e">
        <f>VLOOKUP(A306,[2]Sheet2!$A:$A,1,FALSE)</f>
        <v>#N/A</v>
      </c>
      <c r="E306" t="e">
        <f>VLOOKUP(A306,[3]cortex!$A:$A,1,FALSE)</f>
        <v>#N/A</v>
      </c>
      <c r="F306" t="e">
        <f>VLOOKUP(A306,[4]liver!$A:$A,1,FALSE)</f>
        <v>#N/A</v>
      </c>
      <c r="H306">
        <f t="shared" si="4"/>
        <v>0</v>
      </c>
    </row>
    <row r="307" spans="1:8" x14ac:dyDescent="0.2">
      <c r="A307" s="1" t="s">
        <v>252</v>
      </c>
      <c r="B307" t="e">
        <f>VLOOKUP(A307,'[1]Table S2'!$B$3:$B$509,1,FALSE)</f>
        <v>#N/A</v>
      </c>
      <c r="C307" t="e">
        <f>VLOOKUP(A307,'[1]Table S5'!$B$3:$B$641,1,FALSE)</f>
        <v>#N/A</v>
      </c>
      <c r="D307" t="e">
        <f>VLOOKUP(A307,[2]Sheet2!$A:$A,1,FALSE)</f>
        <v>#N/A</v>
      </c>
      <c r="E307" t="e">
        <f>VLOOKUP(A307,[3]cortex!$A:$A,1,FALSE)</f>
        <v>#N/A</v>
      </c>
      <c r="F307" t="e">
        <f>VLOOKUP(A307,[4]liver!$A:$A,1,FALSE)</f>
        <v>#N/A</v>
      </c>
      <c r="H307">
        <f t="shared" si="4"/>
        <v>0</v>
      </c>
    </row>
    <row r="308" spans="1:8" x14ac:dyDescent="0.2">
      <c r="A308" s="1" t="s">
        <v>253</v>
      </c>
      <c r="B308" t="e">
        <f>VLOOKUP(A308,'[1]Table S2'!$B$3:$B$509,1,FALSE)</f>
        <v>#N/A</v>
      </c>
      <c r="C308" t="e">
        <f>VLOOKUP(A308,'[1]Table S5'!$B$3:$B$641,1,FALSE)</f>
        <v>#N/A</v>
      </c>
      <c r="D308" t="e">
        <f>VLOOKUP(A308,[2]Sheet2!$A:$A,1,FALSE)</f>
        <v>#N/A</v>
      </c>
      <c r="E308" t="e">
        <f>VLOOKUP(A308,[3]cortex!$A:$A,1,FALSE)</f>
        <v>#N/A</v>
      </c>
      <c r="F308" t="e">
        <f>VLOOKUP(A308,[4]liver!$A:$A,1,FALSE)</f>
        <v>#N/A</v>
      </c>
      <c r="H308">
        <f t="shared" si="4"/>
        <v>0</v>
      </c>
    </row>
    <row r="309" spans="1:8" x14ac:dyDescent="0.2">
      <c r="A309" s="1" t="s">
        <v>254</v>
      </c>
      <c r="B309" t="e">
        <f>VLOOKUP(A309,'[1]Table S2'!$B$3:$B$509,1,FALSE)</f>
        <v>#N/A</v>
      </c>
      <c r="C309" t="e">
        <f>VLOOKUP(A309,'[1]Table S5'!$B$3:$B$641,1,FALSE)</f>
        <v>#N/A</v>
      </c>
      <c r="D309" t="e">
        <f>VLOOKUP(A309,[2]Sheet2!$A:$A,1,FALSE)</f>
        <v>#N/A</v>
      </c>
      <c r="E309" t="e">
        <f>VLOOKUP(A309,[3]cortex!$A:$A,1,FALSE)</f>
        <v>#N/A</v>
      </c>
      <c r="F309" t="e">
        <f>VLOOKUP(A309,[4]liver!$A:$A,1,FALSE)</f>
        <v>#N/A</v>
      </c>
      <c r="H309">
        <f t="shared" si="4"/>
        <v>0</v>
      </c>
    </row>
    <row r="310" spans="1:8" x14ac:dyDescent="0.2">
      <c r="A310" s="1" t="s">
        <v>255</v>
      </c>
      <c r="B310" t="e">
        <f>VLOOKUP(A310,'[1]Table S2'!$B$3:$B$509,1,FALSE)</f>
        <v>#N/A</v>
      </c>
      <c r="C310" t="e">
        <f>VLOOKUP(A310,'[1]Table S5'!$B$3:$B$641,1,FALSE)</f>
        <v>#N/A</v>
      </c>
      <c r="D310" t="e">
        <f>VLOOKUP(A310,[2]Sheet2!$A:$A,1,FALSE)</f>
        <v>#N/A</v>
      </c>
      <c r="E310" t="e">
        <f>VLOOKUP(A310,[3]cortex!$A:$A,1,FALSE)</f>
        <v>#N/A</v>
      </c>
      <c r="F310" t="e">
        <f>VLOOKUP(A310,[4]liver!$A:$A,1,FALSE)</f>
        <v>#N/A</v>
      </c>
      <c r="H310">
        <f t="shared" si="4"/>
        <v>0</v>
      </c>
    </row>
    <row r="311" spans="1:8" x14ac:dyDescent="0.2">
      <c r="A311" s="1" t="s">
        <v>256</v>
      </c>
      <c r="B311" t="e">
        <f>VLOOKUP(A311,'[1]Table S2'!$B$3:$B$509,1,FALSE)</f>
        <v>#N/A</v>
      </c>
      <c r="C311" t="e">
        <f>VLOOKUP(A311,'[1]Table S5'!$B$3:$B$641,1,FALSE)</f>
        <v>#N/A</v>
      </c>
      <c r="D311" t="e">
        <f>VLOOKUP(A311,[2]Sheet2!$A:$A,1,FALSE)</f>
        <v>#N/A</v>
      </c>
      <c r="E311" t="e">
        <f>VLOOKUP(A311,[3]cortex!$A:$A,1,FALSE)</f>
        <v>#N/A</v>
      </c>
      <c r="F311" t="e">
        <f>VLOOKUP(A311,[4]liver!$A:$A,1,FALSE)</f>
        <v>#N/A</v>
      </c>
      <c r="H311">
        <f t="shared" si="4"/>
        <v>0</v>
      </c>
    </row>
    <row r="312" spans="1:8" x14ac:dyDescent="0.2">
      <c r="A312" s="1" t="s">
        <v>257</v>
      </c>
      <c r="B312" t="e">
        <f>VLOOKUP(A312,'[1]Table S2'!$B$3:$B$509,1,FALSE)</f>
        <v>#N/A</v>
      </c>
      <c r="C312" t="e">
        <f>VLOOKUP(A312,'[1]Table S5'!$B$3:$B$641,1,FALSE)</f>
        <v>#N/A</v>
      </c>
      <c r="D312" t="e">
        <f>VLOOKUP(A312,[2]Sheet2!$A:$A,1,FALSE)</f>
        <v>#N/A</v>
      </c>
      <c r="E312" t="e">
        <f>VLOOKUP(A312,[3]cortex!$A:$A,1,FALSE)</f>
        <v>#N/A</v>
      </c>
      <c r="F312" t="e">
        <f>VLOOKUP(A312,[4]liver!$A:$A,1,FALSE)</f>
        <v>#N/A</v>
      </c>
      <c r="H312">
        <f t="shared" si="4"/>
        <v>0</v>
      </c>
    </row>
    <row r="313" spans="1:8" x14ac:dyDescent="0.2">
      <c r="A313" s="1" t="s">
        <v>258</v>
      </c>
      <c r="B313" t="e">
        <f>VLOOKUP(A313,'[1]Table S2'!$B$3:$B$509,1,FALSE)</f>
        <v>#N/A</v>
      </c>
      <c r="C313" t="e">
        <f>VLOOKUP(A313,'[1]Table S5'!$B$3:$B$641,1,FALSE)</f>
        <v>#N/A</v>
      </c>
      <c r="D313" t="e">
        <f>VLOOKUP(A313,[2]Sheet2!$A:$A,1,FALSE)</f>
        <v>#N/A</v>
      </c>
      <c r="E313" t="e">
        <f>VLOOKUP(A313,[3]cortex!$A:$A,1,FALSE)</f>
        <v>#N/A</v>
      </c>
      <c r="F313" t="e">
        <f>VLOOKUP(A313,[4]liver!$A:$A,1,FALSE)</f>
        <v>#N/A</v>
      </c>
      <c r="H313">
        <f t="shared" si="4"/>
        <v>0</v>
      </c>
    </row>
    <row r="314" spans="1:8" x14ac:dyDescent="0.2">
      <c r="A314" s="1" t="s">
        <v>259</v>
      </c>
      <c r="B314" t="e">
        <f>VLOOKUP(A314,'[1]Table S2'!$B$3:$B$509,1,FALSE)</f>
        <v>#N/A</v>
      </c>
      <c r="C314" t="e">
        <f>VLOOKUP(A314,'[1]Table S5'!$B$3:$B$641,1,FALSE)</f>
        <v>#N/A</v>
      </c>
      <c r="D314" t="e">
        <f>VLOOKUP(A314,[2]Sheet2!$A:$A,1,FALSE)</f>
        <v>#N/A</v>
      </c>
      <c r="E314" t="e">
        <f>VLOOKUP(A314,[3]cortex!$A:$A,1,FALSE)</f>
        <v>#N/A</v>
      </c>
      <c r="F314" t="e">
        <f>VLOOKUP(A314,[4]liver!$A:$A,1,FALSE)</f>
        <v>#N/A</v>
      </c>
      <c r="H314">
        <f t="shared" si="4"/>
        <v>0</v>
      </c>
    </row>
    <row r="315" spans="1:8" x14ac:dyDescent="0.2">
      <c r="A315" s="1" t="s">
        <v>260</v>
      </c>
      <c r="B315" t="e">
        <f>VLOOKUP(A315,'[1]Table S2'!$B$3:$B$509,1,FALSE)</f>
        <v>#N/A</v>
      </c>
      <c r="C315" t="e">
        <f>VLOOKUP(A315,'[1]Table S5'!$B$3:$B$641,1,FALSE)</f>
        <v>#N/A</v>
      </c>
      <c r="D315" t="e">
        <f>VLOOKUP(A315,[2]Sheet2!$A:$A,1,FALSE)</f>
        <v>#N/A</v>
      </c>
      <c r="E315" t="e">
        <f>VLOOKUP(A315,[3]cortex!$A:$A,1,FALSE)</f>
        <v>#N/A</v>
      </c>
      <c r="F315" t="e">
        <f>VLOOKUP(A315,[4]liver!$A:$A,1,FALSE)</f>
        <v>#N/A</v>
      </c>
      <c r="H315">
        <f t="shared" si="4"/>
        <v>0</v>
      </c>
    </row>
    <row r="316" spans="1:8" x14ac:dyDescent="0.2">
      <c r="A316" s="1" t="s">
        <v>261</v>
      </c>
      <c r="B316" t="e">
        <f>VLOOKUP(A316,'[1]Table S2'!$B$3:$B$509,1,FALSE)</f>
        <v>#N/A</v>
      </c>
      <c r="C316" t="e">
        <f>VLOOKUP(A316,'[1]Table S5'!$B$3:$B$641,1,FALSE)</f>
        <v>#N/A</v>
      </c>
      <c r="D316" t="e">
        <f>VLOOKUP(A316,[2]Sheet2!$A:$A,1,FALSE)</f>
        <v>#N/A</v>
      </c>
      <c r="E316" t="e">
        <f>VLOOKUP(A316,[3]cortex!$A:$A,1,FALSE)</f>
        <v>#N/A</v>
      </c>
      <c r="F316" t="e">
        <f>VLOOKUP(A316,[4]liver!$A:$A,1,FALSE)</f>
        <v>#N/A</v>
      </c>
      <c r="H316">
        <f t="shared" si="4"/>
        <v>0</v>
      </c>
    </row>
    <row r="317" spans="1:8" x14ac:dyDescent="0.2">
      <c r="A317" s="1" t="s">
        <v>262</v>
      </c>
      <c r="B317" t="e">
        <f>VLOOKUP(A317,'[1]Table S2'!$B$3:$B$509,1,FALSE)</f>
        <v>#N/A</v>
      </c>
      <c r="C317" t="e">
        <f>VLOOKUP(A317,'[1]Table S5'!$B$3:$B$641,1,FALSE)</f>
        <v>#N/A</v>
      </c>
      <c r="D317" t="e">
        <f>VLOOKUP(A317,[2]Sheet2!$A:$A,1,FALSE)</f>
        <v>#N/A</v>
      </c>
      <c r="E317" t="e">
        <f>VLOOKUP(A317,[3]cortex!$A:$A,1,FALSE)</f>
        <v>#N/A</v>
      </c>
      <c r="F317" t="e">
        <f>VLOOKUP(A317,[4]liver!$A:$A,1,FALSE)</f>
        <v>#N/A</v>
      </c>
      <c r="H317">
        <f t="shared" si="4"/>
        <v>0</v>
      </c>
    </row>
    <row r="318" spans="1:8" x14ac:dyDescent="0.2">
      <c r="A318" s="1" t="s">
        <v>263</v>
      </c>
      <c r="B318" t="e">
        <f>VLOOKUP(A318,'[1]Table S2'!$B$3:$B$509,1,FALSE)</f>
        <v>#N/A</v>
      </c>
      <c r="C318" t="e">
        <f>VLOOKUP(A318,'[1]Table S5'!$B$3:$B$641,1,FALSE)</f>
        <v>#N/A</v>
      </c>
      <c r="D318" t="e">
        <f>VLOOKUP(A318,[2]Sheet2!$A:$A,1,FALSE)</f>
        <v>#N/A</v>
      </c>
      <c r="E318" t="e">
        <f>VLOOKUP(A318,[3]cortex!$A:$A,1,FALSE)</f>
        <v>#N/A</v>
      </c>
      <c r="F318" t="e">
        <f>VLOOKUP(A318,[4]liver!$A:$A,1,FALSE)</f>
        <v>#N/A</v>
      </c>
      <c r="H318">
        <f t="shared" si="4"/>
        <v>0</v>
      </c>
    </row>
    <row r="319" spans="1:8" x14ac:dyDescent="0.2">
      <c r="A319" s="1" t="s">
        <v>264</v>
      </c>
      <c r="B319" t="e">
        <f>VLOOKUP(A319,'[1]Table S2'!$B$3:$B$509,1,FALSE)</f>
        <v>#N/A</v>
      </c>
      <c r="C319" t="e">
        <f>VLOOKUP(A319,'[1]Table S5'!$B$3:$B$641,1,FALSE)</f>
        <v>#N/A</v>
      </c>
      <c r="D319" t="e">
        <f>VLOOKUP(A319,[2]Sheet2!$A:$A,1,FALSE)</f>
        <v>#N/A</v>
      </c>
      <c r="E319" t="e">
        <f>VLOOKUP(A319,[3]cortex!$A:$A,1,FALSE)</f>
        <v>#N/A</v>
      </c>
      <c r="F319" t="e">
        <f>VLOOKUP(A319,[4]liver!$A:$A,1,FALSE)</f>
        <v>#N/A</v>
      </c>
      <c r="H319">
        <f t="shared" si="4"/>
        <v>0</v>
      </c>
    </row>
    <row r="320" spans="1:8" x14ac:dyDescent="0.2">
      <c r="A320" s="1" t="s">
        <v>265</v>
      </c>
      <c r="B320" t="e">
        <f>VLOOKUP(A320,'[1]Table S2'!$B$3:$B$509,1,FALSE)</f>
        <v>#N/A</v>
      </c>
      <c r="C320" t="e">
        <f>VLOOKUP(A320,'[1]Table S5'!$B$3:$B$641,1,FALSE)</f>
        <v>#N/A</v>
      </c>
      <c r="D320" t="e">
        <f>VLOOKUP(A320,[2]Sheet2!$A:$A,1,FALSE)</f>
        <v>#N/A</v>
      </c>
      <c r="E320" t="e">
        <f>VLOOKUP(A320,[3]cortex!$A:$A,1,FALSE)</f>
        <v>#N/A</v>
      </c>
      <c r="F320" t="e">
        <f>VLOOKUP(A320,[4]liver!$A:$A,1,FALSE)</f>
        <v>#N/A</v>
      </c>
      <c r="H320">
        <f t="shared" si="4"/>
        <v>0</v>
      </c>
    </row>
    <row r="321" spans="1:8" x14ac:dyDescent="0.2">
      <c r="A321" s="1" t="s">
        <v>266</v>
      </c>
      <c r="B321" t="e">
        <f>VLOOKUP(A321,'[1]Table S2'!$B$3:$B$509,1,FALSE)</f>
        <v>#N/A</v>
      </c>
      <c r="C321" t="e">
        <f>VLOOKUP(A321,'[1]Table S5'!$B$3:$B$641,1,FALSE)</f>
        <v>#N/A</v>
      </c>
      <c r="D321" t="e">
        <f>VLOOKUP(A321,[2]Sheet2!$A:$A,1,FALSE)</f>
        <v>#N/A</v>
      </c>
      <c r="E321" t="e">
        <f>VLOOKUP(A321,[3]cortex!$A:$A,1,FALSE)</f>
        <v>#N/A</v>
      </c>
      <c r="F321" t="e">
        <f>VLOOKUP(A321,[4]liver!$A:$A,1,FALSE)</f>
        <v>#N/A</v>
      </c>
      <c r="H321">
        <f t="shared" si="4"/>
        <v>0</v>
      </c>
    </row>
    <row r="322" spans="1:8" x14ac:dyDescent="0.2">
      <c r="A322" s="1" t="s">
        <v>267</v>
      </c>
      <c r="B322" t="e">
        <f>VLOOKUP(A322,'[1]Table S2'!$B$3:$B$509,1,FALSE)</f>
        <v>#N/A</v>
      </c>
      <c r="C322" t="e">
        <f>VLOOKUP(A322,'[1]Table S5'!$B$3:$B$641,1,FALSE)</f>
        <v>#N/A</v>
      </c>
      <c r="D322" t="e">
        <f>VLOOKUP(A322,[2]Sheet2!$A:$A,1,FALSE)</f>
        <v>#N/A</v>
      </c>
      <c r="E322" t="e">
        <f>VLOOKUP(A322,[3]cortex!$A:$A,1,FALSE)</f>
        <v>#N/A</v>
      </c>
      <c r="F322" t="e">
        <f>VLOOKUP(A322,[4]liver!$A:$A,1,FALSE)</f>
        <v>#N/A</v>
      </c>
      <c r="H322">
        <f t="shared" ref="H322:H385" si="5">COUNTIF(B322:G322,A322)</f>
        <v>0</v>
      </c>
    </row>
    <row r="323" spans="1:8" x14ac:dyDescent="0.2">
      <c r="A323" s="1" t="s">
        <v>268</v>
      </c>
      <c r="B323" t="e">
        <f>VLOOKUP(A323,'[1]Table S2'!$B$3:$B$509,1,FALSE)</f>
        <v>#N/A</v>
      </c>
      <c r="C323" t="e">
        <f>VLOOKUP(A323,'[1]Table S5'!$B$3:$B$641,1,FALSE)</f>
        <v>#N/A</v>
      </c>
      <c r="D323" t="e">
        <f>VLOOKUP(A323,[2]Sheet2!$A:$A,1,FALSE)</f>
        <v>#N/A</v>
      </c>
      <c r="E323" t="e">
        <f>VLOOKUP(A323,[3]cortex!$A:$A,1,FALSE)</f>
        <v>#N/A</v>
      </c>
      <c r="F323" t="e">
        <f>VLOOKUP(A323,[4]liver!$A:$A,1,FALSE)</f>
        <v>#N/A</v>
      </c>
      <c r="H323">
        <f t="shared" si="5"/>
        <v>0</v>
      </c>
    </row>
    <row r="324" spans="1:8" x14ac:dyDescent="0.2">
      <c r="A324" s="1" t="s">
        <v>269</v>
      </c>
      <c r="B324" t="e">
        <f>VLOOKUP(A324,'[1]Table S2'!$B$3:$B$509,1,FALSE)</f>
        <v>#N/A</v>
      </c>
      <c r="C324" t="e">
        <f>VLOOKUP(A324,'[1]Table S5'!$B$3:$B$641,1,FALSE)</f>
        <v>#N/A</v>
      </c>
      <c r="D324" t="e">
        <f>VLOOKUP(A324,[2]Sheet2!$A:$A,1,FALSE)</f>
        <v>#N/A</v>
      </c>
      <c r="E324" t="e">
        <f>VLOOKUP(A324,[3]cortex!$A:$A,1,FALSE)</f>
        <v>#N/A</v>
      </c>
      <c r="F324" t="e">
        <f>VLOOKUP(A324,[4]liver!$A:$A,1,FALSE)</f>
        <v>#N/A</v>
      </c>
      <c r="H324">
        <f t="shared" si="5"/>
        <v>0</v>
      </c>
    </row>
    <row r="325" spans="1:8" x14ac:dyDescent="0.2">
      <c r="A325" s="1" t="s">
        <v>270</v>
      </c>
      <c r="B325" t="e">
        <f>VLOOKUP(A325,'[1]Table S2'!$B$3:$B$509,1,FALSE)</f>
        <v>#N/A</v>
      </c>
      <c r="C325" t="e">
        <f>VLOOKUP(A325,'[1]Table S5'!$B$3:$B$641,1,FALSE)</f>
        <v>#N/A</v>
      </c>
      <c r="D325" t="e">
        <f>VLOOKUP(A325,[2]Sheet2!$A:$A,1,FALSE)</f>
        <v>#N/A</v>
      </c>
      <c r="E325" t="e">
        <f>VLOOKUP(A325,[3]cortex!$A:$A,1,FALSE)</f>
        <v>#N/A</v>
      </c>
      <c r="F325" t="e">
        <f>VLOOKUP(A325,[4]liver!$A:$A,1,FALSE)</f>
        <v>#N/A</v>
      </c>
      <c r="H325">
        <f t="shared" si="5"/>
        <v>0</v>
      </c>
    </row>
    <row r="326" spans="1:8" x14ac:dyDescent="0.2">
      <c r="A326" s="1" t="s">
        <v>271</v>
      </c>
      <c r="B326" t="e">
        <f>VLOOKUP(A326,'[1]Table S2'!$B$3:$B$509,1,FALSE)</f>
        <v>#N/A</v>
      </c>
      <c r="C326" t="e">
        <f>VLOOKUP(A326,'[1]Table S5'!$B$3:$B$641,1,FALSE)</f>
        <v>#N/A</v>
      </c>
      <c r="D326" t="e">
        <f>VLOOKUP(A326,[2]Sheet2!$A:$A,1,FALSE)</f>
        <v>#N/A</v>
      </c>
      <c r="E326" t="e">
        <f>VLOOKUP(A326,[3]cortex!$A:$A,1,FALSE)</f>
        <v>#N/A</v>
      </c>
      <c r="F326" t="e">
        <f>VLOOKUP(A326,[4]liver!$A:$A,1,FALSE)</f>
        <v>#N/A</v>
      </c>
      <c r="H326">
        <f t="shared" si="5"/>
        <v>0</v>
      </c>
    </row>
    <row r="327" spans="1:8" x14ac:dyDescent="0.2">
      <c r="A327" s="1" t="s">
        <v>272</v>
      </c>
      <c r="B327" t="e">
        <f>VLOOKUP(A327,'[1]Table S2'!$B$3:$B$509,1,FALSE)</f>
        <v>#N/A</v>
      </c>
      <c r="C327" t="e">
        <f>VLOOKUP(A327,'[1]Table S5'!$B$3:$B$641,1,FALSE)</f>
        <v>#N/A</v>
      </c>
      <c r="D327" t="e">
        <f>VLOOKUP(A327,[2]Sheet2!$A:$A,1,FALSE)</f>
        <v>#N/A</v>
      </c>
      <c r="E327" t="e">
        <f>VLOOKUP(A327,[3]cortex!$A:$A,1,FALSE)</f>
        <v>#N/A</v>
      </c>
      <c r="F327" t="e">
        <f>VLOOKUP(A327,[4]liver!$A:$A,1,FALSE)</f>
        <v>#N/A</v>
      </c>
      <c r="H327">
        <f t="shared" si="5"/>
        <v>0</v>
      </c>
    </row>
    <row r="328" spans="1:8" x14ac:dyDescent="0.2">
      <c r="A328" s="1" t="s">
        <v>273</v>
      </c>
      <c r="B328" t="e">
        <f>VLOOKUP(A328,'[1]Table S2'!$B$3:$B$509,1,FALSE)</f>
        <v>#N/A</v>
      </c>
      <c r="C328" t="e">
        <f>VLOOKUP(A328,'[1]Table S5'!$B$3:$B$641,1,FALSE)</f>
        <v>#N/A</v>
      </c>
      <c r="D328" t="e">
        <f>VLOOKUP(A328,[2]Sheet2!$A:$A,1,FALSE)</f>
        <v>#N/A</v>
      </c>
      <c r="E328" t="e">
        <f>VLOOKUP(A328,[3]cortex!$A:$A,1,FALSE)</f>
        <v>#N/A</v>
      </c>
      <c r="F328" t="e">
        <f>VLOOKUP(A328,[4]liver!$A:$A,1,FALSE)</f>
        <v>#N/A</v>
      </c>
      <c r="H328">
        <f t="shared" si="5"/>
        <v>0</v>
      </c>
    </row>
    <row r="329" spans="1:8" x14ac:dyDescent="0.2">
      <c r="A329" s="1" t="s">
        <v>274</v>
      </c>
      <c r="B329" t="e">
        <f>VLOOKUP(A329,'[1]Table S2'!$B$3:$B$509,1,FALSE)</f>
        <v>#N/A</v>
      </c>
      <c r="C329" t="e">
        <f>VLOOKUP(A329,'[1]Table S5'!$B$3:$B$641,1,FALSE)</f>
        <v>#N/A</v>
      </c>
      <c r="D329" t="e">
        <f>VLOOKUP(A329,[2]Sheet2!$A:$A,1,FALSE)</f>
        <v>#N/A</v>
      </c>
      <c r="E329" t="e">
        <f>VLOOKUP(A329,[3]cortex!$A:$A,1,FALSE)</f>
        <v>#N/A</v>
      </c>
      <c r="F329" t="e">
        <f>VLOOKUP(A329,[4]liver!$A:$A,1,FALSE)</f>
        <v>#N/A</v>
      </c>
      <c r="H329">
        <f t="shared" si="5"/>
        <v>0</v>
      </c>
    </row>
    <row r="330" spans="1:8" x14ac:dyDescent="0.2">
      <c r="A330" s="1" t="s">
        <v>275</v>
      </c>
      <c r="B330" t="e">
        <f>VLOOKUP(A330,'[1]Table S2'!$B$3:$B$509,1,FALSE)</f>
        <v>#N/A</v>
      </c>
      <c r="C330" t="e">
        <f>VLOOKUP(A330,'[1]Table S5'!$B$3:$B$641,1,FALSE)</f>
        <v>#N/A</v>
      </c>
      <c r="D330" t="e">
        <f>VLOOKUP(A330,[2]Sheet2!$A:$A,1,FALSE)</f>
        <v>#N/A</v>
      </c>
      <c r="E330" t="e">
        <f>VLOOKUP(A330,[3]cortex!$A:$A,1,FALSE)</f>
        <v>#N/A</v>
      </c>
      <c r="F330" t="e">
        <f>VLOOKUP(A330,[4]liver!$A:$A,1,FALSE)</f>
        <v>#N/A</v>
      </c>
      <c r="H330">
        <f t="shared" si="5"/>
        <v>0</v>
      </c>
    </row>
    <row r="331" spans="1:8" x14ac:dyDescent="0.2">
      <c r="A331" s="1" t="s">
        <v>276</v>
      </c>
      <c r="B331" t="e">
        <f>VLOOKUP(A331,'[1]Table S2'!$B$3:$B$509,1,FALSE)</f>
        <v>#N/A</v>
      </c>
      <c r="C331" t="e">
        <f>VLOOKUP(A331,'[1]Table S5'!$B$3:$B$641,1,FALSE)</f>
        <v>#N/A</v>
      </c>
      <c r="D331" t="e">
        <f>VLOOKUP(A331,[2]Sheet2!$A:$A,1,FALSE)</f>
        <v>#N/A</v>
      </c>
      <c r="E331" t="e">
        <f>VLOOKUP(A331,[3]cortex!$A:$A,1,FALSE)</f>
        <v>#N/A</v>
      </c>
      <c r="F331" t="e">
        <f>VLOOKUP(A331,[4]liver!$A:$A,1,FALSE)</f>
        <v>#N/A</v>
      </c>
      <c r="H331">
        <f t="shared" si="5"/>
        <v>0</v>
      </c>
    </row>
    <row r="332" spans="1:8" x14ac:dyDescent="0.2">
      <c r="A332" s="1" t="s">
        <v>277</v>
      </c>
      <c r="B332" t="e">
        <f>VLOOKUP(A332,'[1]Table S2'!$B$3:$B$509,1,FALSE)</f>
        <v>#N/A</v>
      </c>
      <c r="C332" t="e">
        <f>VLOOKUP(A332,'[1]Table S5'!$B$3:$B$641,1,FALSE)</f>
        <v>#N/A</v>
      </c>
      <c r="D332" t="e">
        <f>VLOOKUP(A332,[2]Sheet2!$A:$A,1,FALSE)</f>
        <v>#N/A</v>
      </c>
      <c r="E332" t="e">
        <f>VLOOKUP(A332,[3]cortex!$A:$A,1,FALSE)</f>
        <v>#N/A</v>
      </c>
      <c r="F332" t="e">
        <f>VLOOKUP(A332,[4]liver!$A:$A,1,FALSE)</f>
        <v>#N/A</v>
      </c>
      <c r="H332">
        <f t="shared" si="5"/>
        <v>0</v>
      </c>
    </row>
    <row r="333" spans="1:8" x14ac:dyDescent="0.2">
      <c r="A333" s="1" t="s">
        <v>278</v>
      </c>
      <c r="B333" t="e">
        <f>VLOOKUP(A333,'[1]Table S2'!$B$3:$B$509,1,FALSE)</f>
        <v>#N/A</v>
      </c>
      <c r="C333" t="e">
        <f>VLOOKUP(A333,'[1]Table S5'!$B$3:$B$641,1,FALSE)</f>
        <v>#N/A</v>
      </c>
      <c r="D333" t="e">
        <f>VLOOKUP(A333,[2]Sheet2!$A:$A,1,FALSE)</f>
        <v>#N/A</v>
      </c>
      <c r="E333" t="e">
        <f>VLOOKUP(A333,[3]cortex!$A:$A,1,FALSE)</f>
        <v>#N/A</v>
      </c>
      <c r="F333" t="e">
        <f>VLOOKUP(A333,[4]liver!$A:$A,1,FALSE)</f>
        <v>#N/A</v>
      </c>
      <c r="H333">
        <f t="shared" si="5"/>
        <v>0</v>
      </c>
    </row>
    <row r="334" spans="1:8" x14ac:dyDescent="0.2">
      <c r="A334" s="1" t="s">
        <v>279</v>
      </c>
      <c r="B334" t="e">
        <f>VLOOKUP(A334,'[1]Table S2'!$B$3:$B$509,1,FALSE)</f>
        <v>#N/A</v>
      </c>
      <c r="C334" t="e">
        <f>VLOOKUP(A334,'[1]Table S5'!$B$3:$B$641,1,FALSE)</f>
        <v>#N/A</v>
      </c>
      <c r="D334" t="e">
        <f>VLOOKUP(A334,[2]Sheet2!$A:$A,1,FALSE)</f>
        <v>#N/A</v>
      </c>
      <c r="E334" t="e">
        <f>VLOOKUP(A334,[3]cortex!$A:$A,1,FALSE)</f>
        <v>#N/A</v>
      </c>
      <c r="F334" t="e">
        <f>VLOOKUP(A334,[4]liver!$A:$A,1,FALSE)</f>
        <v>#N/A</v>
      </c>
      <c r="H334">
        <f t="shared" si="5"/>
        <v>0</v>
      </c>
    </row>
    <row r="335" spans="1:8" x14ac:dyDescent="0.2">
      <c r="A335" s="1" t="s">
        <v>280</v>
      </c>
      <c r="B335" t="e">
        <f>VLOOKUP(A335,'[1]Table S2'!$B$3:$B$509,1,FALSE)</f>
        <v>#N/A</v>
      </c>
      <c r="C335" t="e">
        <f>VLOOKUP(A335,'[1]Table S5'!$B$3:$B$641,1,FALSE)</f>
        <v>#N/A</v>
      </c>
      <c r="D335" t="e">
        <f>VLOOKUP(A335,[2]Sheet2!$A:$A,1,FALSE)</f>
        <v>#N/A</v>
      </c>
      <c r="E335" t="e">
        <f>VLOOKUP(A335,[3]cortex!$A:$A,1,FALSE)</f>
        <v>#N/A</v>
      </c>
      <c r="F335" t="e">
        <f>VLOOKUP(A335,[4]liver!$A:$A,1,FALSE)</f>
        <v>#N/A</v>
      </c>
      <c r="H335">
        <f t="shared" si="5"/>
        <v>0</v>
      </c>
    </row>
    <row r="336" spans="1:8" x14ac:dyDescent="0.2">
      <c r="A336" s="1" t="s">
        <v>281</v>
      </c>
      <c r="B336" t="e">
        <f>VLOOKUP(A336,'[1]Table S2'!$B$3:$B$509,1,FALSE)</f>
        <v>#N/A</v>
      </c>
      <c r="C336" t="e">
        <f>VLOOKUP(A336,'[1]Table S5'!$B$3:$B$641,1,FALSE)</f>
        <v>#N/A</v>
      </c>
      <c r="D336" t="e">
        <f>VLOOKUP(A336,[2]Sheet2!$A:$A,1,FALSE)</f>
        <v>#N/A</v>
      </c>
      <c r="E336" t="e">
        <f>VLOOKUP(A336,[3]cortex!$A:$A,1,FALSE)</f>
        <v>#N/A</v>
      </c>
      <c r="F336" t="e">
        <f>VLOOKUP(A336,[4]liver!$A:$A,1,FALSE)</f>
        <v>#N/A</v>
      </c>
      <c r="H336">
        <f t="shared" si="5"/>
        <v>0</v>
      </c>
    </row>
    <row r="337" spans="1:8" x14ac:dyDescent="0.2">
      <c r="A337" s="1" t="s">
        <v>282</v>
      </c>
      <c r="B337" t="e">
        <f>VLOOKUP(A337,'[1]Table S2'!$B$3:$B$509,1,FALSE)</f>
        <v>#N/A</v>
      </c>
      <c r="C337" t="e">
        <f>VLOOKUP(A337,'[1]Table S5'!$B$3:$B$641,1,FALSE)</f>
        <v>#N/A</v>
      </c>
      <c r="D337" t="e">
        <f>VLOOKUP(A337,[2]Sheet2!$A:$A,1,FALSE)</f>
        <v>#N/A</v>
      </c>
      <c r="E337" t="e">
        <f>VLOOKUP(A337,[3]cortex!$A:$A,1,FALSE)</f>
        <v>#N/A</v>
      </c>
      <c r="F337" t="e">
        <f>VLOOKUP(A337,[4]liver!$A:$A,1,FALSE)</f>
        <v>#N/A</v>
      </c>
      <c r="H337">
        <f t="shared" si="5"/>
        <v>0</v>
      </c>
    </row>
    <row r="338" spans="1:8" x14ac:dyDescent="0.2">
      <c r="A338" s="1" t="s">
        <v>283</v>
      </c>
      <c r="B338" t="e">
        <f>VLOOKUP(A338,'[1]Table S2'!$B$3:$B$509,1,FALSE)</f>
        <v>#N/A</v>
      </c>
      <c r="C338" t="e">
        <f>VLOOKUP(A338,'[1]Table S5'!$B$3:$B$641,1,FALSE)</f>
        <v>#N/A</v>
      </c>
      <c r="D338" t="e">
        <f>VLOOKUP(A338,[2]Sheet2!$A:$A,1,FALSE)</f>
        <v>#N/A</v>
      </c>
      <c r="E338" t="e">
        <f>VLOOKUP(A338,[3]cortex!$A:$A,1,FALSE)</f>
        <v>#N/A</v>
      </c>
      <c r="F338" t="e">
        <f>VLOOKUP(A338,[4]liver!$A:$A,1,FALSE)</f>
        <v>#N/A</v>
      </c>
      <c r="H338">
        <f t="shared" si="5"/>
        <v>0</v>
      </c>
    </row>
    <row r="339" spans="1:8" x14ac:dyDescent="0.2">
      <c r="A339" s="1" t="s">
        <v>284</v>
      </c>
      <c r="B339" t="e">
        <f>VLOOKUP(A339,'[1]Table S2'!$B$3:$B$509,1,FALSE)</f>
        <v>#N/A</v>
      </c>
      <c r="C339" t="e">
        <f>VLOOKUP(A339,'[1]Table S5'!$B$3:$B$641,1,FALSE)</f>
        <v>#N/A</v>
      </c>
      <c r="D339" t="e">
        <f>VLOOKUP(A339,[2]Sheet2!$A:$A,1,FALSE)</f>
        <v>#N/A</v>
      </c>
      <c r="E339" t="e">
        <f>VLOOKUP(A339,[3]cortex!$A:$A,1,FALSE)</f>
        <v>#N/A</v>
      </c>
      <c r="F339" t="e">
        <f>VLOOKUP(A339,[4]liver!$A:$A,1,FALSE)</f>
        <v>#N/A</v>
      </c>
      <c r="H339">
        <f t="shared" si="5"/>
        <v>0</v>
      </c>
    </row>
    <row r="340" spans="1:8" x14ac:dyDescent="0.2">
      <c r="A340" s="1" t="s">
        <v>286</v>
      </c>
      <c r="B340" t="e">
        <f>VLOOKUP(A340,'[1]Table S2'!$B$3:$B$509,1,FALSE)</f>
        <v>#N/A</v>
      </c>
      <c r="C340" t="e">
        <f>VLOOKUP(A340,'[1]Table S5'!$B$3:$B$641,1,FALSE)</f>
        <v>#N/A</v>
      </c>
      <c r="D340" t="e">
        <f>VLOOKUP(A340,[2]Sheet2!$A:$A,1,FALSE)</f>
        <v>#N/A</v>
      </c>
      <c r="E340" t="e">
        <f>VLOOKUP(A340,[3]cortex!$A:$A,1,FALSE)</f>
        <v>#N/A</v>
      </c>
      <c r="F340" t="e">
        <f>VLOOKUP(A340,[4]liver!$A:$A,1,FALSE)</f>
        <v>#N/A</v>
      </c>
      <c r="H340">
        <f t="shared" si="5"/>
        <v>0</v>
      </c>
    </row>
    <row r="341" spans="1:8" x14ac:dyDescent="0.2">
      <c r="A341" s="1" t="s">
        <v>287</v>
      </c>
      <c r="B341" t="e">
        <f>VLOOKUP(A341,'[1]Table S2'!$B$3:$B$509,1,FALSE)</f>
        <v>#N/A</v>
      </c>
      <c r="C341" t="e">
        <f>VLOOKUP(A341,'[1]Table S5'!$B$3:$B$641,1,FALSE)</f>
        <v>#N/A</v>
      </c>
      <c r="D341" t="e">
        <f>VLOOKUP(A341,[2]Sheet2!$A:$A,1,FALSE)</f>
        <v>#N/A</v>
      </c>
      <c r="E341" t="e">
        <f>VLOOKUP(A341,[3]cortex!$A:$A,1,FALSE)</f>
        <v>#N/A</v>
      </c>
      <c r="F341" t="e">
        <f>VLOOKUP(A341,[4]liver!$A:$A,1,FALSE)</f>
        <v>#N/A</v>
      </c>
      <c r="H341">
        <f t="shared" si="5"/>
        <v>0</v>
      </c>
    </row>
    <row r="342" spans="1:8" x14ac:dyDescent="0.2">
      <c r="A342" s="1" t="s">
        <v>289</v>
      </c>
      <c r="B342" t="e">
        <f>VLOOKUP(A342,'[1]Table S2'!$B$3:$B$509,1,FALSE)</f>
        <v>#N/A</v>
      </c>
      <c r="C342" t="e">
        <f>VLOOKUP(A342,'[1]Table S5'!$B$3:$B$641,1,FALSE)</f>
        <v>#N/A</v>
      </c>
      <c r="D342" t="e">
        <f>VLOOKUP(A342,[2]Sheet2!$A:$A,1,FALSE)</f>
        <v>#N/A</v>
      </c>
      <c r="E342" t="e">
        <f>VLOOKUP(A342,[3]cortex!$A:$A,1,FALSE)</f>
        <v>#N/A</v>
      </c>
      <c r="F342" t="e">
        <f>VLOOKUP(A342,[4]liver!$A:$A,1,FALSE)</f>
        <v>#N/A</v>
      </c>
      <c r="H342">
        <f t="shared" si="5"/>
        <v>0</v>
      </c>
    </row>
    <row r="343" spans="1:8" x14ac:dyDescent="0.2">
      <c r="A343" s="1" t="s">
        <v>290</v>
      </c>
      <c r="B343" t="e">
        <f>VLOOKUP(A343,'[1]Table S2'!$B$3:$B$509,1,FALSE)</f>
        <v>#N/A</v>
      </c>
      <c r="C343" t="e">
        <f>VLOOKUP(A343,'[1]Table S5'!$B$3:$B$641,1,FALSE)</f>
        <v>#N/A</v>
      </c>
      <c r="D343" t="e">
        <f>VLOOKUP(A343,[2]Sheet2!$A:$A,1,FALSE)</f>
        <v>#N/A</v>
      </c>
      <c r="E343" t="e">
        <f>VLOOKUP(A343,[3]cortex!$A:$A,1,FALSE)</f>
        <v>#N/A</v>
      </c>
      <c r="F343" t="e">
        <f>VLOOKUP(A343,[4]liver!$A:$A,1,FALSE)</f>
        <v>#N/A</v>
      </c>
      <c r="H343">
        <f t="shared" si="5"/>
        <v>0</v>
      </c>
    </row>
    <row r="344" spans="1:8" x14ac:dyDescent="0.2">
      <c r="A344" s="1" t="s">
        <v>291</v>
      </c>
      <c r="B344" t="e">
        <f>VLOOKUP(A344,'[1]Table S2'!$B$3:$B$509,1,FALSE)</f>
        <v>#N/A</v>
      </c>
      <c r="C344" t="e">
        <f>VLOOKUP(A344,'[1]Table S5'!$B$3:$B$641,1,FALSE)</f>
        <v>#N/A</v>
      </c>
      <c r="D344" t="e">
        <f>VLOOKUP(A344,[2]Sheet2!$A:$A,1,FALSE)</f>
        <v>#N/A</v>
      </c>
      <c r="E344" t="e">
        <f>VLOOKUP(A344,[3]cortex!$A:$A,1,FALSE)</f>
        <v>#N/A</v>
      </c>
      <c r="F344" t="e">
        <f>VLOOKUP(A344,[4]liver!$A:$A,1,FALSE)</f>
        <v>#N/A</v>
      </c>
      <c r="H344">
        <f t="shared" si="5"/>
        <v>0</v>
      </c>
    </row>
    <row r="345" spans="1:8" x14ac:dyDescent="0.2">
      <c r="A345" s="1" t="s">
        <v>293</v>
      </c>
      <c r="B345" t="e">
        <f>VLOOKUP(A345,'[1]Table S2'!$B$3:$B$509,1,FALSE)</f>
        <v>#N/A</v>
      </c>
      <c r="C345" t="e">
        <f>VLOOKUP(A345,'[1]Table S5'!$B$3:$B$641,1,FALSE)</f>
        <v>#N/A</v>
      </c>
      <c r="D345" t="e">
        <f>VLOOKUP(A345,[2]Sheet2!$A:$A,1,FALSE)</f>
        <v>#N/A</v>
      </c>
      <c r="E345" t="e">
        <f>VLOOKUP(A345,[3]cortex!$A:$A,1,FALSE)</f>
        <v>#N/A</v>
      </c>
      <c r="F345" t="e">
        <f>VLOOKUP(A345,[4]liver!$A:$A,1,FALSE)</f>
        <v>#N/A</v>
      </c>
      <c r="H345">
        <f t="shared" si="5"/>
        <v>0</v>
      </c>
    </row>
    <row r="346" spans="1:8" x14ac:dyDescent="0.2">
      <c r="A346" s="1" t="s">
        <v>295</v>
      </c>
      <c r="B346" t="e">
        <f>VLOOKUP(A346,'[1]Table S2'!$B$3:$B$509,1,FALSE)</f>
        <v>#N/A</v>
      </c>
      <c r="C346" t="e">
        <f>VLOOKUP(A346,'[1]Table S5'!$B$3:$B$641,1,FALSE)</f>
        <v>#N/A</v>
      </c>
      <c r="D346" t="e">
        <f>VLOOKUP(A346,[2]Sheet2!$A:$A,1,FALSE)</f>
        <v>#N/A</v>
      </c>
      <c r="E346" t="e">
        <f>VLOOKUP(A346,[3]cortex!$A:$A,1,FALSE)</f>
        <v>#N/A</v>
      </c>
      <c r="F346" t="e">
        <f>VLOOKUP(A346,[4]liver!$A:$A,1,FALSE)</f>
        <v>#N/A</v>
      </c>
      <c r="H346">
        <f t="shared" si="5"/>
        <v>0</v>
      </c>
    </row>
    <row r="347" spans="1:8" x14ac:dyDescent="0.2">
      <c r="A347" s="1" t="s">
        <v>296</v>
      </c>
      <c r="B347" t="e">
        <f>VLOOKUP(A347,'[1]Table S2'!$B$3:$B$509,1,FALSE)</f>
        <v>#N/A</v>
      </c>
      <c r="C347" t="e">
        <f>VLOOKUP(A347,'[1]Table S5'!$B$3:$B$641,1,FALSE)</f>
        <v>#N/A</v>
      </c>
      <c r="D347" t="e">
        <f>VLOOKUP(A347,[2]Sheet2!$A:$A,1,FALSE)</f>
        <v>#N/A</v>
      </c>
      <c r="E347" t="e">
        <f>VLOOKUP(A347,[3]cortex!$A:$A,1,FALSE)</f>
        <v>#N/A</v>
      </c>
      <c r="F347" t="e">
        <f>VLOOKUP(A347,[4]liver!$A:$A,1,FALSE)</f>
        <v>#N/A</v>
      </c>
      <c r="H347">
        <f t="shared" si="5"/>
        <v>0</v>
      </c>
    </row>
    <row r="348" spans="1:8" x14ac:dyDescent="0.2">
      <c r="A348" s="1" t="s">
        <v>297</v>
      </c>
      <c r="B348" t="e">
        <f>VLOOKUP(A348,'[1]Table S2'!$B$3:$B$509,1,FALSE)</f>
        <v>#N/A</v>
      </c>
      <c r="C348" t="e">
        <f>VLOOKUP(A348,'[1]Table S5'!$B$3:$B$641,1,FALSE)</f>
        <v>#N/A</v>
      </c>
      <c r="D348" t="e">
        <f>VLOOKUP(A348,[2]Sheet2!$A:$A,1,FALSE)</f>
        <v>#N/A</v>
      </c>
      <c r="E348" t="e">
        <f>VLOOKUP(A348,[3]cortex!$A:$A,1,FALSE)</f>
        <v>#N/A</v>
      </c>
      <c r="F348" t="e">
        <f>VLOOKUP(A348,[4]liver!$A:$A,1,FALSE)</f>
        <v>#N/A</v>
      </c>
      <c r="H348">
        <f t="shared" si="5"/>
        <v>0</v>
      </c>
    </row>
    <row r="349" spans="1:8" x14ac:dyDescent="0.2">
      <c r="A349" s="1" t="s">
        <v>299</v>
      </c>
      <c r="B349" t="e">
        <f>VLOOKUP(A349,'[1]Table S2'!$B$3:$B$509,1,FALSE)</f>
        <v>#N/A</v>
      </c>
      <c r="C349" t="e">
        <f>VLOOKUP(A349,'[1]Table S5'!$B$3:$B$641,1,FALSE)</f>
        <v>#N/A</v>
      </c>
      <c r="D349" t="e">
        <f>VLOOKUP(A349,[2]Sheet2!$A:$A,1,FALSE)</f>
        <v>#N/A</v>
      </c>
      <c r="E349" t="e">
        <f>VLOOKUP(A349,[3]cortex!$A:$A,1,FALSE)</f>
        <v>#N/A</v>
      </c>
      <c r="F349" t="e">
        <f>VLOOKUP(A349,[4]liver!$A:$A,1,FALSE)</f>
        <v>#N/A</v>
      </c>
      <c r="H349">
        <f t="shared" si="5"/>
        <v>0</v>
      </c>
    </row>
    <row r="350" spans="1:8" x14ac:dyDescent="0.2">
      <c r="A350" s="1" t="s">
        <v>300</v>
      </c>
      <c r="B350" t="e">
        <f>VLOOKUP(A350,'[1]Table S2'!$B$3:$B$509,1,FALSE)</f>
        <v>#N/A</v>
      </c>
      <c r="C350" t="e">
        <f>VLOOKUP(A350,'[1]Table S5'!$B$3:$B$641,1,FALSE)</f>
        <v>#N/A</v>
      </c>
      <c r="D350" t="e">
        <f>VLOOKUP(A350,[2]Sheet2!$A:$A,1,FALSE)</f>
        <v>#N/A</v>
      </c>
      <c r="E350" t="e">
        <f>VLOOKUP(A350,[3]cortex!$A:$A,1,FALSE)</f>
        <v>#N/A</v>
      </c>
      <c r="F350" t="e">
        <f>VLOOKUP(A350,[4]liver!$A:$A,1,FALSE)</f>
        <v>#N/A</v>
      </c>
      <c r="H350">
        <f t="shared" si="5"/>
        <v>0</v>
      </c>
    </row>
    <row r="351" spans="1:8" x14ac:dyDescent="0.2">
      <c r="A351" s="1" t="s">
        <v>302</v>
      </c>
      <c r="B351" t="e">
        <f>VLOOKUP(A351,'[1]Table S2'!$B$3:$B$509,1,FALSE)</f>
        <v>#N/A</v>
      </c>
      <c r="C351" t="e">
        <f>VLOOKUP(A351,'[1]Table S5'!$B$3:$B$641,1,FALSE)</f>
        <v>#N/A</v>
      </c>
      <c r="D351" t="e">
        <f>VLOOKUP(A351,[2]Sheet2!$A:$A,1,FALSE)</f>
        <v>#N/A</v>
      </c>
      <c r="E351" t="e">
        <f>VLOOKUP(A351,[3]cortex!$A:$A,1,FALSE)</f>
        <v>#N/A</v>
      </c>
      <c r="F351" t="e">
        <f>VLOOKUP(A351,[4]liver!$A:$A,1,FALSE)</f>
        <v>#N/A</v>
      </c>
      <c r="H351">
        <f t="shared" si="5"/>
        <v>0</v>
      </c>
    </row>
    <row r="352" spans="1:8" x14ac:dyDescent="0.2">
      <c r="A352" s="1" t="s">
        <v>303</v>
      </c>
      <c r="B352" t="e">
        <f>VLOOKUP(A352,'[1]Table S2'!$B$3:$B$509,1,FALSE)</f>
        <v>#N/A</v>
      </c>
      <c r="C352" t="e">
        <f>VLOOKUP(A352,'[1]Table S5'!$B$3:$B$641,1,FALSE)</f>
        <v>#N/A</v>
      </c>
      <c r="D352" t="e">
        <f>VLOOKUP(A352,[2]Sheet2!$A:$A,1,FALSE)</f>
        <v>#N/A</v>
      </c>
      <c r="E352" t="e">
        <f>VLOOKUP(A352,[3]cortex!$A:$A,1,FALSE)</f>
        <v>#N/A</v>
      </c>
      <c r="F352" t="e">
        <f>VLOOKUP(A352,[4]liver!$A:$A,1,FALSE)</f>
        <v>#N/A</v>
      </c>
      <c r="H352">
        <f t="shared" si="5"/>
        <v>0</v>
      </c>
    </row>
    <row r="353" spans="1:8" x14ac:dyDescent="0.2">
      <c r="A353" s="1" t="s">
        <v>304</v>
      </c>
      <c r="B353" t="e">
        <f>VLOOKUP(A353,'[1]Table S2'!$B$3:$B$509,1,FALSE)</f>
        <v>#N/A</v>
      </c>
      <c r="C353" t="e">
        <f>VLOOKUP(A353,'[1]Table S5'!$B$3:$B$641,1,FALSE)</f>
        <v>#N/A</v>
      </c>
      <c r="D353" t="e">
        <f>VLOOKUP(A353,[2]Sheet2!$A:$A,1,FALSE)</f>
        <v>#N/A</v>
      </c>
      <c r="E353" t="e">
        <f>VLOOKUP(A353,[3]cortex!$A:$A,1,FALSE)</f>
        <v>#N/A</v>
      </c>
      <c r="F353" t="e">
        <f>VLOOKUP(A353,[4]liver!$A:$A,1,FALSE)</f>
        <v>#N/A</v>
      </c>
      <c r="H353">
        <f t="shared" si="5"/>
        <v>0</v>
      </c>
    </row>
    <row r="354" spans="1:8" x14ac:dyDescent="0.2">
      <c r="A354" s="1" t="s">
        <v>305</v>
      </c>
      <c r="B354" t="e">
        <f>VLOOKUP(A354,'[1]Table S2'!$B$3:$B$509,1,FALSE)</f>
        <v>#N/A</v>
      </c>
      <c r="C354" t="e">
        <f>VLOOKUP(A354,'[1]Table S5'!$B$3:$B$641,1,FALSE)</f>
        <v>#N/A</v>
      </c>
      <c r="D354" t="e">
        <f>VLOOKUP(A354,[2]Sheet2!$A:$A,1,FALSE)</f>
        <v>#N/A</v>
      </c>
      <c r="E354" t="e">
        <f>VLOOKUP(A354,[3]cortex!$A:$A,1,FALSE)</f>
        <v>#N/A</v>
      </c>
      <c r="F354" t="e">
        <f>VLOOKUP(A354,[4]liver!$A:$A,1,FALSE)</f>
        <v>#N/A</v>
      </c>
      <c r="H354">
        <f t="shared" si="5"/>
        <v>0</v>
      </c>
    </row>
    <row r="355" spans="1:8" x14ac:dyDescent="0.2">
      <c r="A355" s="1" t="s">
        <v>306</v>
      </c>
      <c r="B355" t="e">
        <f>VLOOKUP(A355,'[1]Table S2'!$B$3:$B$509,1,FALSE)</f>
        <v>#N/A</v>
      </c>
      <c r="C355" t="e">
        <f>VLOOKUP(A355,'[1]Table S5'!$B$3:$B$641,1,FALSE)</f>
        <v>#N/A</v>
      </c>
      <c r="D355" t="e">
        <f>VLOOKUP(A355,[2]Sheet2!$A:$A,1,FALSE)</f>
        <v>#N/A</v>
      </c>
      <c r="E355" t="e">
        <f>VLOOKUP(A355,[3]cortex!$A:$A,1,FALSE)</f>
        <v>#N/A</v>
      </c>
      <c r="F355" t="e">
        <f>VLOOKUP(A355,[4]liver!$A:$A,1,FALSE)</f>
        <v>#N/A</v>
      </c>
      <c r="H355">
        <f t="shared" si="5"/>
        <v>0</v>
      </c>
    </row>
    <row r="356" spans="1:8" x14ac:dyDescent="0.2">
      <c r="A356" s="1" t="s">
        <v>308</v>
      </c>
      <c r="B356" t="e">
        <f>VLOOKUP(A356,'[1]Table S2'!$B$3:$B$509,1,FALSE)</f>
        <v>#N/A</v>
      </c>
      <c r="C356" t="e">
        <f>VLOOKUP(A356,'[1]Table S5'!$B$3:$B$641,1,FALSE)</f>
        <v>#N/A</v>
      </c>
      <c r="D356" t="e">
        <f>VLOOKUP(A356,[2]Sheet2!$A:$A,1,FALSE)</f>
        <v>#N/A</v>
      </c>
      <c r="E356" t="e">
        <f>VLOOKUP(A356,[3]cortex!$A:$A,1,FALSE)</f>
        <v>#N/A</v>
      </c>
      <c r="F356" t="e">
        <f>VLOOKUP(A356,[4]liver!$A:$A,1,FALSE)</f>
        <v>#N/A</v>
      </c>
      <c r="H356">
        <f t="shared" si="5"/>
        <v>0</v>
      </c>
    </row>
    <row r="357" spans="1:8" x14ac:dyDescent="0.2">
      <c r="A357" s="1" t="s">
        <v>309</v>
      </c>
      <c r="B357" t="e">
        <f>VLOOKUP(A357,'[1]Table S2'!$B$3:$B$509,1,FALSE)</f>
        <v>#N/A</v>
      </c>
      <c r="C357" t="e">
        <f>VLOOKUP(A357,'[1]Table S5'!$B$3:$B$641,1,FALSE)</f>
        <v>#N/A</v>
      </c>
      <c r="D357" t="e">
        <f>VLOOKUP(A357,[2]Sheet2!$A:$A,1,FALSE)</f>
        <v>#N/A</v>
      </c>
      <c r="E357" t="e">
        <f>VLOOKUP(A357,[3]cortex!$A:$A,1,FALSE)</f>
        <v>#N/A</v>
      </c>
      <c r="F357" t="e">
        <f>VLOOKUP(A357,[4]liver!$A:$A,1,FALSE)</f>
        <v>#N/A</v>
      </c>
      <c r="H357">
        <f t="shared" si="5"/>
        <v>0</v>
      </c>
    </row>
    <row r="358" spans="1:8" x14ac:dyDescent="0.2">
      <c r="A358" s="1" t="s">
        <v>310</v>
      </c>
      <c r="B358" t="e">
        <f>VLOOKUP(A358,'[1]Table S2'!$B$3:$B$509,1,FALSE)</f>
        <v>#N/A</v>
      </c>
      <c r="C358" t="e">
        <f>VLOOKUP(A358,'[1]Table S5'!$B$3:$B$641,1,FALSE)</f>
        <v>#N/A</v>
      </c>
      <c r="D358" t="e">
        <f>VLOOKUP(A358,[2]Sheet2!$A:$A,1,FALSE)</f>
        <v>#N/A</v>
      </c>
      <c r="E358" t="e">
        <f>VLOOKUP(A358,[3]cortex!$A:$A,1,FALSE)</f>
        <v>#N/A</v>
      </c>
      <c r="F358" t="e">
        <f>VLOOKUP(A358,[4]liver!$A:$A,1,FALSE)</f>
        <v>#N/A</v>
      </c>
      <c r="H358">
        <f t="shared" si="5"/>
        <v>0</v>
      </c>
    </row>
    <row r="359" spans="1:8" x14ac:dyDescent="0.2">
      <c r="A359" s="1" t="s">
        <v>311</v>
      </c>
      <c r="B359" t="e">
        <f>VLOOKUP(A359,'[1]Table S2'!$B$3:$B$509,1,FALSE)</f>
        <v>#N/A</v>
      </c>
      <c r="C359" t="e">
        <f>VLOOKUP(A359,'[1]Table S5'!$B$3:$B$641,1,FALSE)</f>
        <v>#N/A</v>
      </c>
      <c r="D359" t="e">
        <f>VLOOKUP(A359,[2]Sheet2!$A:$A,1,FALSE)</f>
        <v>#N/A</v>
      </c>
      <c r="E359" t="e">
        <f>VLOOKUP(A359,[3]cortex!$A:$A,1,FALSE)</f>
        <v>#N/A</v>
      </c>
      <c r="F359" t="e">
        <f>VLOOKUP(A359,[4]liver!$A:$A,1,FALSE)</f>
        <v>#N/A</v>
      </c>
      <c r="H359">
        <f t="shared" si="5"/>
        <v>0</v>
      </c>
    </row>
    <row r="360" spans="1:8" x14ac:dyDescent="0.2">
      <c r="A360" s="1" t="s">
        <v>312</v>
      </c>
      <c r="B360" t="e">
        <f>VLOOKUP(A360,'[1]Table S2'!$B$3:$B$509,1,FALSE)</f>
        <v>#N/A</v>
      </c>
      <c r="C360" t="e">
        <f>VLOOKUP(A360,'[1]Table S5'!$B$3:$B$641,1,FALSE)</f>
        <v>#N/A</v>
      </c>
      <c r="D360" t="e">
        <f>VLOOKUP(A360,[2]Sheet2!$A:$A,1,FALSE)</f>
        <v>#N/A</v>
      </c>
      <c r="E360" t="e">
        <f>VLOOKUP(A360,[3]cortex!$A:$A,1,FALSE)</f>
        <v>#N/A</v>
      </c>
      <c r="F360" t="e">
        <f>VLOOKUP(A360,[4]liver!$A:$A,1,FALSE)</f>
        <v>#N/A</v>
      </c>
      <c r="H360">
        <f t="shared" si="5"/>
        <v>0</v>
      </c>
    </row>
    <row r="361" spans="1:8" x14ac:dyDescent="0.2">
      <c r="A361" s="1" t="s">
        <v>313</v>
      </c>
      <c r="B361" t="e">
        <f>VLOOKUP(A361,'[1]Table S2'!$B$3:$B$509,1,FALSE)</f>
        <v>#N/A</v>
      </c>
      <c r="C361" t="e">
        <f>VLOOKUP(A361,'[1]Table S5'!$B$3:$B$641,1,FALSE)</f>
        <v>#N/A</v>
      </c>
      <c r="D361" t="e">
        <f>VLOOKUP(A361,[2]Sheet2!$A:$A,1,FALSE)</f>
        <v>#N/A</v>
      </c>
      <c r="E361" t="e">
        <f>VLOOKUP(A361,[3]cortex!$A:$A,1,FALSE)</f>
        <v>#N/A</v>
      </c>
      <c r="F361" t="e">
        <f>VLOOKUP(A361,[4]liver!$A:$A,1,FALSE)</f>
        <v>#N/A</v>
      </c>
      <c r="H361">
        <f t="shared" si="5"/>
        <v>0</v>
      </c>
    </row>
    <row r="362" spans="1:8" x14ac:dyDescent="0.2">
      <c r="A362" s="1" t="s">
        <v>317</v>
      </c>
      <c r="B362" t="e">
        <f>VLOOKUP(A362,'[1]Table S2'!$B$3:$B$509,1,FALSE)</f>
        <v>#N/A</v>
      </c>
      <c r="C362" t="e">
        <f>VLOOKUP(A362,'[1]Table S5'!$B$3:$B$641,1,FALSE)</f>
        <v>#N/A</v>
      </c>
      <c r="D362" t="e">
        <f>VLOOKUP(A362,[2]Sheet2!$A:$A,1,FALSE)</f>
        <v>#N/A</v>
      </c>
      <c r="E362" t="e">
        <f>VLOOKUP(A362,[3]cortex!$A:$A,1,FALSE)</f>
        <v>#N/A</v>
      </c>
      <c r="F362" t="e">
        <f>VLOOKUP(A362,[4]liver!$A:$A,1,FALSE)</f>
        <v>#N/A</v>
      </c>
      <c r="H362">
        <f t="shared" si="5"/>
        <v>0</v>
      </c>
    </row>
    <row r="363" spans="1:8" x14ac:dyDescent="0.2">
      <c r="A363" s="1" t="s">
        <v>318</v>
      </c>
      <c r="B363" t="e">
        <f>VLOOKUP(A363,'[1]Table S2'!$B$3:$B$509,1,FALSE)</f>
        <v>#N/A</v>
      </c>
      <c r="C363" t="e">
        <f>VLOOKUP(A363,'[1]Table S5'!$B$3:$B$641,1,FALSE)</f>
        <v>#N/A</v>
      </c>
      <c r="D363" t="e">
        <f>VLOOKUP(A363,[2]Sheet2!$A:$A,1,FALSE)</f>
        <v>#N/A</v>
      </c>
      <c r="E363" t="e">
        <f>VLOOKUP(A363,[3]cortex!$A:$A,1,FALSE)</f>
        <v>#N/A</v>
      </c>
      <c r="F363" t="e">
        <f>VLOOKUP(A363,[4]liver!$A:$A,1,FALSE)</f>
        <v>#N/A</v>
      </c>
      <c r="H363">
        <f t="shared" si="5"/>
        <v>0</v>
      </c>
    </row>
    <row r="364" spans="1:8" x14ac:dyDescent="0.2">
      <c r="A364" s="1" t="s">
        <v>319</v>
      </c>
      <c r="B364" t="e">
        <f>VLOOKUP(A364,'[1]Table S2'!$B$3:$B$509,1,FALSE)</f>
        <v>#N/A</v>
      </c>
      <c r="C364" t="e">
        <f>VLOOKUP(A364,'[1]Table S5'!$B$3:$B$641,1,FALSE)</f>
        <v>#N/A</v>
      </c>
      <c r="D364" t="e">
        <f>VLOOKUP(A364,[2]Sheet2!$A:$A,1,FALSE)</f>
        <v>#N/A</v>
      </c>
      <c r="E364" t="e">
        <f>VLOOKUP(A364,[3]cortex!$A:$A,1,FALSE)</f>
        <v>#N/A</v>
      </c>
      <c r="F364" t="e">
        <f>VLOOKUP(A364,[4]liver!$A:$A,1,FALSE)</f>
        <v>#N/A</v>
      </c>
      <c r="H364">
        <f t="shared" si="5"/>
        <v>0</v>
      </c>
    </row>
    <row r="365" spans="1:8" x14ac:dyDescent="0.2">
      <c r="A365" s="1" t="s">
        <v>320</v>
      </c>
      <c r="B365" t="e">
        <f>VLOOKUP(A365,'[1]Table S2'!$B$3:$B$509,1,FALSE)</f>
        <v>#N/A</v>
      </c>
      <c r="C365" t="e">
        <f>VLOOKUP(A365,'[1]Table S5'!$B$3:$B$641,1,FALSE)</f>
        <v>#N/A</v>
      </c>
      <c r="D365" t="e">
        <f>VLOOKUP(A365,[2]Sheet2!$A:$A,1,FALSE)</f>
        <v>#N/A</v>
      </c>
      <c r="E365" t="e">
        <f>VLOOKUP(A365,[3]cortex!$A:$A,1,FALSE)</f>
        <v>#N/A</v>
      </c>
      <c r="F365" t="e">
        <f>VLOOKUP(A365,[4]liver!$A:$A,1,FALSE)</f>
        <v>#N/A</v>
      </c>
      <c r="H365">
        <f t="shared" si="5"/>
        <v>0</v>
      </c>
    </row>
    <row r="366" spans="1:8" x14ac:dyDescent="0.2">
      <c r="A366" s="1" t="s">
        <v>321</v>
      </c>
      <c r="B366" t="e">
        <f>VLOOKUP(A366,'[1]Table S2'!$B$3:$B$509,1,FALSE)</f>
        <v>#N/A</v>
      </c>
      <c r="C366" t="e">
        <f>VLOOKUP(A366,'[1]Table S5'!$B$3:$B$641,1,FALSE)</f>
        <v>#N/A</v>
      </c>
      <c r="D366" t="e">
        <f>VLOOKUP(A366,[2]Sheet2!$A:$A,1,FALSE)</f>
        <v>#N/A</v>
      </c>
      <c r="E366" t="e">
        <f>VLOOKUP(A366,[3]cortex!$A:$A,1,FALSE)</f>
        <v>#N/A</v>
      </c>
      <c r="F366" t="e">
        <f>VLOOKUP(A366,[4]liver!$A:$A,1,FALSE)</f>
        <v>#N/A</v>
      </c>
      <c r="H366">
        <f t="shared" si="5"/>
        <v>0</v>
      </c>
    </row>
    <row r="367" spans="1:8" x14ac:dyDescent="0.2">
      <c r="A367" s="1" t="s">
        <v>322</v>
      </c>
      <c r="B367" t="e">
        <f>VLOOKUP(A367,'[1]Table S2'!$B$3:$B$509,1,FALSE)</f>
        <v>#N/A</v>
      </c>
      <c r="C367" t="e">
        <f>VLOOKUP(A367,'[1]Table S5'!$B$3:$B$641,1,FALSE)</f>
        <v>#N/A</v>
      </c>
      <c r="D367" t="e">
        <f>VLOOKUP(A367,[2]Sheet2!$A:$A,1,FALSE)</f>
        <v>#N/A</v>
      </c>
      <c r="E367" t="e">
        <f>VLOOKUP(A367,[3]cortex!$A:$A,1,FALSE)</f>
        <v>#N/A</v>
      </c>
      <c r="F367" t="e">
        <f>VLOOKUP(A367,[4]liver!$A:$A,1,FALSE)</f>
        <v>#N/A</v>
      </c>
      <c r="H367">
        <f t="shared" si="5"/>
        <v>0</v>
      </c>
    </row>
    <row r="368" spans="1:8" x14ac:dyDescent="0.2">
      <c r="A368" s="1" t="s">
        <v>325</v>
      </c>
      <c r="B368" t="e">
        <f>VLOOKUP(A368,'[1]Table S2'!$B$3:$B$509,1,FALSE)</f>
        <v>#N/A</v>
      </c>
      <c r="C368" t="e">
        <f>VLOOKUP(A368,'[1]Table S5'!$B$3:$B$641,1,FALSE)</f>
        <v>#N/A</v>
      </c>
      <c r="D368" t="e">
        <f>VLOOKUP(A368,[2]Sheet2!$A:$A,1,FALSE)</f>
        <v>#N/A</v>
      </c>
      <c r="E368" t="e">
        <f>VLOOKUP(A368,[3]cortex!$A:$A,1,FALSE)</f>
        <v>#N/A</v>
      </c>
      <c r="F368" t="e">
        <f>VLOOKUP(A368,[4]liver!$A:$A,1,FALSE)</f>
        <v>#N/A</v>
      </c>
      <c r="H368">
        <f t="shared" si="5"/>
        <v>0</v>
      </c>
    </row>
    <row r="369" spans="1:8" x14ac:dyDescent="0.2">
      <c r="A369" s="1" t="s">
        <v>326</v>
      </c>
      <c r="B369" t="e">
        <f>VLOOKUP(A369,'[1]Table S2'!$B$3:$B$509,1,FALSE)</f>
        <v>#N/A</v>
      </c>
      <c r="C369" t="e">
        <f>VLOOKUP(A369,'[1]Table S5'!$B$3:$B$641,1,FALSE)</f>
        <v>#N/A</v>
      </c>
      <c r="D369" t="e">
        <f>VLOOKUP(A369,[2]Sheet2!$A:$A,1,FALSE)</f>
        <v>#N/A</v>
      </c>
      <c r="E369" t="e">
        <f>VLOOKUP(A369,[3]cortex!$A:$A,1,FALSE)</f>
        <v>#N/A</v>
      </c>
      <c r="F369" t="e">
        <f>VLOOKUP(A369,[4]liver!$A:$A,1,FALSE)</f>
        <v>#N/A</v>
      </c>
      <c r="H369">
        <f t="shared" si="5"/>
        <v>0</v>
      </c>
    </row>
    <row r="370" spans="1:8" x14ac:dyDescent="0.2">
      <c r="A370" s="1" t="s">
        <v>327</v>
      </c>
      <c r="B370" t="e">
        <f>VLOOKUP(A370,'[1]Table S2'!$B$3:$B$509,1,FALSE)</f>
        <v>#N/A</v>
      </c>
      <c r="C370" t="e">
        <f>VLOOKUP(A370,'[1]Table S5'!$B$3:$B$641,1,FALSE)</f>
        <v>#N/A</v>
      </c>
      <c r="D370" t="e">
        <f>VLOOKUP(A370,[2]Sheet2!$A:$A,1,FALSE)</f>
        <v>#N/A</v>
      </c>
      <c r="E370" t="e">
        <f>VLOOKUP(A370,[3]cortex!$A:$A,1,FALSE)</f>
        <v>#N/A</v>
      </c>
      <c r="F370" t="e">
        <f>VLOOKUP(A370,[4]liver!$A:$A,1,FALSE)</f>
        <v>#N/A</v>
      </c>
      <c r="H370">
        <f t="shared" si="5"/>
        <v>0</v>
      </c>
    </row>
    <row r="371" spans="1:8" x14ac:dyDescent="0.2">
      <c r="A371" s="1" t="s">
        <v>328</v>
      </c>
      <c r="B371" t="e">
        <f>VLOOKUP(A371,'[1]Table S2'!$B$3:$B$509,1,FALSE)</f>
        <v>#N/A</v>
      </c>
      <c r="C371" t="e">
        <f>VLOOKUP(A371,'[1]Table S5'!$B$3:$B$641,1,FALSE)</f>
        <v>#N/A</v>
      </c>
      <c r="D371" t="e">
        <f>VLOOKUP(A371,[2]Sheet2!$A:$A,1,FALSE)</f>
        <v>#N/A</v>
      </c>
      <c r="E371" t="e">
        <f>VLOOKUP(A371,[3]cortex!$A:$A,1,FALSE)</f>
        <v>#N/A</v>
      </c>
      <c r="F371" t="e">
        <f>VLOOKUP(A371,[4]liver!$A:$A,1,FALSE)</f>
        <v>#N/A</v>
      </c>
      <c r="H371">
        <f t="shared" si="5"/>
        <v>0</v>
      </c>
    </row>
    <row r="372" spans="1:8" x14ac:dyDescent="0.2">
      <c r="A372" s="1" t="s">
        <v>329</v>
      </c>
      <c r="B372" t="e">
        <f>VLOOKUP(A372,'[1]Table S2'!$B$3:$B$509,1,FALSE)</f>
        <v>#N/A</v>
      </c>
      <c r="C372" t="e">
        <f>VLOOKUP(A372,'[1]Table S5'!$B$3:$B$641,1,FALSE)</f>
        <v>#N/A</v>
      </c>
      <c r="D372" t="e">
        <f>VLOOKUP(A372,[2]Sheet2!$A:$A,1,FALSE)</f>
        <v>#N/A</v>
      </c>
      <c r="E372" t="e">
        <f>VLOOKUP(A372,[3]cortex!$A:$A,1,FALSE)</f>
        <v>#N/A</v>
      </c>
      <c r="F372" t="e">
        <f>VLOOKUP(A372,[4]liver!$A:$A,1,FALSE)</f>
        <v>#N/A</v>
      </c>
      <c r="H372">
        <f t="shared" si="5"/>
        <v>0</v>
      </c>
    </row>
    <row r="373" spans="1:8" x14ac:dyDescent="0.2">
      <c r="A373" s="1" t="s">
        <v>330</v>
      </c>
      <c r="B373" t="e">
        <f>VLOOKUP(A373,'[1]Table S2'!$B$3:$B$509,1,FALSE)</f>
        <v>#N/A</v>
      </c>
      <c r="C373" t="e">
        <f>VLOOKUP(A373,'[1]Table S5'!$B$3:$B$641,1,FALSE)</f>
        <v>#N/A</v>
      </c>
      <c r="D373" t="e">
        <f>VLOOKUP(A373,[2]Sheet2!$A:$A,1,FALSE)</f>
        <v>#N/A</v>
      </c>
      <c r="E373" t="e">
        <f>VLOOKUP(A373,[3]cortex!$A:$A,1,FALSE)</f>
        <v>#N/A</v>
      </c>
      <c r="F373" t="e">
        <f>VLOOKUP(A373,[4]liver!$A:$A,1,FALSE)</f>
        <v>#N/A</v>
      </c>
      <c r="H373">
        <f t="shared" si="5"/>
        <v>0</v>
      </c>
    </row>
    <row r="374" spans="1:8" x14ac:dyDescent="0.2">
      <c r="A374" s="1" t="s">
        <v>331</v>
      </c>
      <c r="B374" t="e">
        <f>VLOOKUP(A374,'[1]Table S2'!$B$3:$B$509,1,FALSE)</f>
        <v>#N/A</v>
      </c>
      <c r="C374" t="e">
        <f>VLOOKUP(A374,'[1]Table S5'!$B$3:$B$641,1,FALSE)</f>
        <v>#N/A</v>
      </c>
      <c r="D374" t="e">
        <f>VLOOKUP(A374,[2]Sheet2!$A:$A,1,FALSE)</f>
        <v>#N/A</v>
      </c>
      <c r="E374" t="e">
        <f>VLOOKUP(A374,[3]cortex!$A:$A,1,FALSE)</f>
        <v>#N/A</v>
      </c>
      <c r="F374" t="e">
        <f>VLOOKUP(A374,[4]liver!$A:$A,1,FALSE)</f>
        <v>#N/A</v>
      </c>
      <c r="H374">
        <f t="shared" si="5"/>
        <v>0</v>
      </c>
    </row>
    <row r="375" spans="1:8" x14ac:dyDescent="0.2">
      <c r="A375" s="1" t="s">
        <v>332</v>
      </c>
      <c r="B375" t="e">
        <f>VLOOKUP(A375,'[1]Table S2'!$B$3:$B$509,1,FALSE)</f>
        <v>#N/A</v>
      </c>
      <c r="C375" t="e">
        <f>VLOOKUP(A375,'[1]Table S5'!$B$3:$B$641,1,FALSE)</f>
        <v>#N/A</v>
      </c>
      <c r="D375" t="e">
        <f>VLOOKUP(A375,[2]Sheet2!$A:$A,1,FALSE)</f>
        <v>#N/A</v>
      </c>
      <c r="E375" t="e">
        <f>VLOOKUP(A375,[3]cortex!$A:$A,1,FALSE)</f>
        <v>#N/A</v>
      </c>
      <c r="F375" t="e">
        <f>VLOOKUP(A375,[4]liver!$A:$A,1,FALSE)</f>
        <v>#N/A</v>
      </c>
      <c r="H375">
        <f t="shared" si="5"/>
        <v>0</v>
      </c>
    </row>
    <row r="376" spans="1:8" x14ac:dyDescent="0.2">
      <c r="A376" s="1" t="s">
        <v>333</v>
      </c>
      <c r="B376" t="e">
        <f>VLOOKUP(A376,'[1]Table S2'!$B$3:$B$509,1,FALSE)</f>
        <v>#N/A</v>
      </c>
      <c r="C376" t="e">
        <f>VLOOKUP(A376,'[1]Table S5'!$B$3:$B$641,1,FALSE)</f>
        <v>#N/A</v>
      </c>
      <c r="D376" t="e">
        <f>VLOOKUP(A376,[2]Sheet2!$A:$A,1,FALSE)</f>
        <v>#N/A</v>
      </c>
      <c r="E376" t="e">
        <f>VLOOKUP(A376,[3]cortex!$A:$A,1,FALSE)</f>
        <v>#N/A</v>
      </c>
      <c r="F376" t="e">
        <f>VLOOKUP(A376,[4]liver!$A:$A,1,FALSE)</f>
        <v>#N/A</v>
      </c>
      <c r="H376">
        <f t="shared" si="5"/>
        <v>0</v>
      </c>
    </row>
    <row r="377" spans="1:8" x14ac:dyDescent="0.2">
      <c r="A377" s="1" t="s">
        <v>334</v>
      </c>
      <c r="B377" t="e">
        <f>VLOOKUP(A377,'[1]Table S2'!$B$3:$B$509,1,FALSE)</f>
        <v>#N/A</v>
      </c>
      <c r="C377" t="e">
        <f>VLOOKUP(A377,'[1]Table S5'!$B$3:$B$641,1,FALSE)</f>
        <v>#N/A</v>
      </c>
      <c r="D377" t="e">
        <f>VLOOKUP(A377,[2]Sheet2!$A:$A,1,FALSE)</f>
        <v>#N/A</v>
      </c>
      <c r="E377" t="e">
        <f>VLOOKUP(A377,[3]cortex!$A:$A,1,FALSE)</f>
        <v>#N/A</v>
      </c>
      <c r="F377" t="e">
        <f>VLOOKUP(A377,[4]liver!$A:$A,1,FALSE)</f>
        <v>#N/A</v>
      </c>
      <c r="H377">
        <f t="shared" si="5"/>
        <v>0</v>
      </c>
    </row>
    <row r="378" spans="1:8" x14ac:dyDescent="0.2">
      <c r="A378" s="1" t="s">
        <v>335</v>
      </c>
      <c r="B378" t="e">
        <f>VLOOKUP(A378,'[1]Table S2'!$B$3:$B$509,1,FALSE)</f>
        <v>#N/A</v>
      </c>
      <c r="C378" t="e">
        <f>VLOOKUP(A378,'[1]Table S5'!$B$3:$B$641,1,FALSE)</f>
        <v>#N/A</v>
      </c>
      <c r="D378" t="e">
        <f>VLOOKUP(A378,[2]Sheet2!$A:$A,1,FALSE)</f>
        <v>#N/A</v>
      </c>
      <c r="E378" t="e">
        <f>VLOOKUP(A378,[3]cortex!$A:$A,1,FALSE)</f>
        <v>#N/A</v>
      </c>
      <c r="F378" t="e">
        <f>VLOOKUP(A378,[4]liver!$A:$A,1,FALSE)</f>
        <v>#N/A</v>
      </c>
      <c r="H378">
        <f t="shared" si="5"/>
        <v>0</v>
      </c>
    </row>
    <row r="379" spans="1:8" x14ac:dyDescent="0.2">
      <c r="A379" s="1" t="s">
        <v>336</v>
      </c>
      <c r="B379" t="e">
        <f>VLOOKUP(A379,'[1]Table S2'!$B$3:$B$509,1,FALSE)</f>
        <v>#N/A</v>
      </c>
      <c r="C379" t="e">
        <f>VLOOKUP(A379,'[1]Table S5'!$B$3:$B$641,1,FALSE)</f>
        <v>#N/A</v>
      </c>
      <c r="D379" t="e">
        <f>VLOOKUP(A379,[2]Sheet2!$A:$A,1,FALSE)</f>
        <v>#N/A</v>
      </c>
      <c r="E379" t="e">
        <f>VLOOKUP(A379,[3]cortex!$A:$A,1,FALSE)</f>
        <v>#N/A</v>
      </c>
      <c r="F379" t="e">
        <f>VLOOKUP(A379,[4]liver!$A:$A,1,FALSE)</f>
        <v>#N/A</v>
      </c>
      <c r="H379">
        <f t="shared" si="5"/>
        <v>0</v>
      </c>
    </row>
    <row r="380" spans="1:8" x14ac:dyDescent="0.2">
      <c r="A380" s="1" t="s">
        <v>337</v>
      </c>
      <c r="B380" t="e">
        <f>VLOOKUP(A380,'[1]Table S2'!$B$3:$B$509,1,FALSE)</f>
        <v>#N/A</v>
      </c>
      <c r="C380" t="e">
        <f>VLOOKUP(A380,'[1]Table S5'!$B$3:$B$641,1,FALSE)</f>
        <v>#N/A</v>
      </c>
      <c r="D380" t="e">
        <f>VLOOKUP(A380,[2]Sheet2!$A:$A,1,FALSE)</f>
        <v>#N/A</v>
      </c>
      <c r="E380" t="e">
        <f>VLOOKUP(A380,[3]cortex!$A:$A,1,FALSE)</f>
        <v>#N/A</v>
      </c>
      <c r="F380" t="e">
        <f>VLOOKUP(A380,[4]liver!$A:$A,1,FALSE)</f>
        <v>#N/A</v>
      </c>
      <c r="H380">
        <f t="shared" si="5"/>
        <v>0</v>
      </c>
    </row>
    <row r="381" spans="1:8" x14ac:dyDescent="0.2">
      <c r="A381" s="1" t="s">
        <v>339</v>
      </c>
      <c r="B381" t="e">
        <f>VLOOKUP(A381,'[1]Table S2'!$B$3:$B$509,1,FALSE)</f>
        <v>#N/A</v>
      </c>
      <c r="C381" t="e">
        <f>VLOOKUP(A381,'[1]Table S5'!$B$3:$B$641,1,FALSE)</f>
        <v>#N/A</v>
      </c>
      <c r="D381" t="e">
        <f>VLOOKUP(A381,[2]Sheet2!$A:$A,1,FALSE)</f>
        <v>#N/A</v>
      </c>
      <c r="E381" t="e">
        <f>VLOOKUP(A381,[3]cortex!$A:$A,1,FALSE)</f>
        <v>#N/A</v>
      </c>
      <c r="F381" t="e">
        <f>VLOOKUP(A381,[4]liver!$A:$A,1,FALSE)</f>
        <v>#N/A</v>
      </c>
      <c r="H381">
        <f t="shared" si="5"/>
        <v>0</v>
      </c>
    </row>
    <row r="382" spans="1:8" x14ac:dyDescent="0.2">
      <c r="A382" s="1" t="s">
        <v>340</v>
      </c>
      <c r="B382" t="e">
        <f>VLOOKUP(A382,'[1]Table S2'!$B$3:$B$509,1,FALSE)</f>
        <v>#N/A</v>
      </c>
      <c r="C382" t="e">
        <f>VLOOKUP(A382,'[1]Table S5'!$B$3:$B$641,1,FALSE)</f>
        <v>#N/A</v>
      </c>
      <c r="D382" t="e">
        <f>VLOOKUP(A382,[2]Sheet2!$A:$A,1,FALSE)</f>
        <v>#N/A</v>
      </c>
      <c r="E382" t="e">
        <f>VLOOKUP(A382,[3]cortex!$A:$A,1,FALSE)</f>
        <v>#N/A</v>
      </c>
      <c r="F382" t="e">
        <f>VLOOKUP(A382,[4]liver!$A:$A,1,FALSE)</f>
        <v>#N/A</v>
      </c>
      <c r="H382">
        <f t="shared" si="5"/>
        <v>0</v>
      </c>
    </row>
    <row r="383" spans="1:8" x14ac:dyDescent="0.2">
      <c r="A383" s="1" t="s">
        <v>341</v>
      </c>
      <c r="B383" t="e">
        <f>VLOOKUP(A383,'[1]Table S2'!$B$3:$B$509,1,FALSE)</f>
        <v>#N/A</v>
      </c>
      <c r="C383" t="e">
        <f>VLOOKUP(A383,'[1]Table S5'!$B$3:$B$641,1,FALSE)</f>
        <v>#N/A</v>
      </c>
      <c r="D383" t="e">
        <f>VLOOKUP(A383,[2]Sheet2!$A:$A,1,FALSE)</f>
        <v>#N/A</v>
      </c>
      <c r="E383" t="e">
        <f>VLOOKUP(A383,[3]cortex!$A:$A,1,FALSE)</f>
        <v>#N/A</v>
      </c>
      <c r="F383" t="e">
        <f>VLOOKUP(A383,[4]liver!$A:$A,1,FALSE)</f>
        <v>#N/A</v>
      </c>
      <c r="H383">
        <f t="shared" si="5"/>
        <v>0</v>
      </c>
    </row>
    <row r="384" spans="1:8" x14ac:dyDescent="0.2">
      <c r="A384" s="1" t="s">
        <v>343</v>
      </c>
      <c r="B384" t="e">
        <f>VLOOKUP(A384,'[1]Table S2'!$B$3:$B$509,1,FALSE)</f>
        <v>#N/A</v>
      </c>
      <c r="C384" t="e">
        <f>VLOOKUP(A384,'[1]Table S5'!$B$3:$B$641,1,FALSE)</f>
        <v>#N/A</v>
      </c>
      <c r="D384" t="e">
        <f>VLOOKUP(A384,[2]Sheet2!$A:$A,1,FALSE)</f>
        <v>#N/A</v>
      </c>
      <c r="E384" t="e">
        <f>VLOOKUP(A384,[3]cortex!$A:$A,1,FALSE)</f>
        <v>#N/A</v>
      </c>
      <c r="F384" t="e">
        <f>VLOOKUP(A384,[4]liver!$A:$A,1,FALSE)</f>
        <v>#N/A</v>
      </c>
      <c r="H384">
        <f t="shared" si="5"/>
        <v>0</v>
      </c>
    </row>
    <row r="385" spans="1:8" x14ac:dyDescent="0.2">
      <c r="A385" s="1" t="s">
        <v>344</v>
      </c>
      <c r="B385" t="e">
        <f>VLOOKUP(A385,'[1]Table S2'!$B$3:$B$509,1,FALSE)</f>
        <v>#N/A</v>
      </c>
      <c r="C385" t="e">
        <f>VLOOKUP(A385,'[1]Table S5'!$B$3:$B$641,1,FALSE)</f>
        <v>#N/A</v>
      </c>
      <c r="D385" t="e">
        <f>VLOOKUP(A385,[2]Sheet2!$A:$A,1,FALSE)</f>
        <v>#N/A</v>
      </c>
      <c r="E385" t="e">
        <f>VLOOKUP(A385,[3]cortex!$A:$A,1,FALSE)</f>
        <v>#N/A</v>
      </c>
      <c r="F385" t="e">
        <f>VLOOKUP(A385,[4]liver!$A:$A,1,FALSE)</f>
        <v>#N/A</v>
      </c>
      <c r="H385">
        <f t="shared" si="5"/>
        <v>0</v>
      </c>
    </row>
    <row r="386" spans="1:8" x14ac:dyDescent="0.2">
      <c r="A386" s="1" t="s">
        <v>345</v>
      </c>
      <c r="B386" t="e">
        <f>VLOOKUP(A386,'[1]Table S2'!$B$3:$B$509,1,FALSE)</f>
        <v>#N/A</v>
      </c>
      <c r="C386" t="e">
        <f>VLOOKUP(A386,'[1]Table S5'!$B$3:$B$641,1,FALSE)</f>
        <v>#N/A</v>
      </c>
      <c r="D386" t="e">
        <f>VLOOKUP(A386,[2]Sheet2!$A:$A,1,FALSE)</f>
        <v>#N/A</v>
      </c>
      <c r="E386" t="e">
        <f>VLOOKUP(A386,[3]cortex!$A:$A,1,FALSE)</f>
        <v>#N/A</v>
      </c>
      <c r="F386" t="e">
        <f>VLOOKUP(A386,[4]liver!$A:$A,1,FALSE)</f>
        <v>#N/A</v>
      </c>
      <c r="H386">
        <f t="shared" ref="H386:H449" si="6">COUNTIF(B386:G386,A386)</f>
        <v>0</v>
      </c>
    </row>
    <row r="387" spans="1:8" x14ac:dyDescent="0.2">
      <c r="A387" s="1" t="s">
        <v>346</v>
      </c>
      <c r="B387" t="e">
        <f>VLOOKUP(A387,'[1]Table S2'!$B$3:$B$509,1,FALSE)</f>
        <v>#N/A</v>
      </c>
      <c r="C387" t="e">
        <f>VLOOKUP(A387,'[1]Table S5'!$B$3:$B$641,1,FALSE)</f>
        <v>#N/A</v>
      </c>
      <c r="D387" t="e">
        <f>VLOOKUP(A387,[2]Sheet2!$A:$A,1,FALSE)</f>
        <v>#N/A</v>
      </c>
      <c r="E387" t="e">
        <f>VLOOKUP(A387,[3]cortex!$A:$A,1,FALSE)</f>
        <v>#N/A</v>
      </c>
      <c r="F387" t="e">
        <f>VLOOKUP(A387,[4]liver!$A:$A,1,FALSE)</f>
        <v>#N/A</v>
      </c>
      <c r="H387">
        <f t="shared" si="6"/>
        <v>0</v>
      </c>
    </row>
    <row r="388" spans="1:8" x14ac:dyDescent="0.2">
      <c r="A388" s="1" t="s">
        <v>347</v>
      </c>
      <c r="B388" t="e">
        <f>VLOOKUP(A388,'[1]Table S2'!$B$3:$B$509,1,FALSE)</f>
        <v>#N/A</v>
      </c>
      <c r="C388" t="e">
        <f>VLOOKUP(A388,'[1]Table S5'!$B$3:$B$641,1,FALSE)</f>
        <v>#N/A</v>
      </c>
      <c r="D388" t="e">
        <f>VLOOKUP(A388,[2]Sheet2!$A:$A,1,FALSE)</f>
        <v>#N/A</v>
      </c>
      <c r="E388" t="e">
        <f>VLOOKUP(A388,[3]cortex!$A:$A,1,FALSE)</f>
        <v>#N/A</v>
      </c>
      <c r="F388" t="e">
        <f>VLOOKUP(A388,[4]liver!$A:$A,1,FALSE)</f>
        <v>#N/A</v>
      </c>
      <c r="H388">
        <f t="shared" si="6"/>
        <v>0</v>
      </c>
    </row>
    <row r="389" spans="1:8" x14ac:dyDescent="0.2">
      <c r="A389" s="1" t="s">
        <v>348</v>
      </c>
      <c r="B389" t="e">
        <f>VLOOKUP(A389,'[1]Table S2'!$B$3:$B$509,1,FALSE)</f>
        <v>#N/A</v>
      </c>
      <c r="C389" t="e">
        <f>VLOOKUP(A389,'[1]Table S5'!$B$3:$B$641,1,FALSE)</f>
        <v>#N/A</v>
      </c>
      <c r="D389" t="e">
        <f>VLOOKUP(A389,[2]Sheet2!$A:$A,1,FALSE)</f>
        <v>#N/A</v>
      </c>
      <c r="E389" t="e">
        <f>VLOOKUP(A389,[3]cortex!$A:$A,1,FALSE)</f>
        <v>#N/A</v>
      </c>
      <c r="F389" t="e">
        <f>VLOOKUP(A389,[4]liver!$A:$A,1,FALSE)</f>
        <v>#N/A</v>
      </c>
      <c r="H389">
        <f t="shared" si="6"/>
        <v>0</v>
      </c>
    </row>
    <row r="390" spans="1:8" x14ac:dyDescent="0.2">
      <c r="A390" s="1" t="s">
        <v>349</v>
      </c>
      <c r="B390" t="e">
        <f>VLOOKUP(A390,'[1]Table S2'!$B$3:$B$509,1,FALSE)</f>
        <v>#N/A</v>
      </c>
      <c r="C390" t="e">
        <f>VLOOKUP(A390,'[1]Table S5'!$B$3:$B$641,1,FALSE)</f>
        <v>#N/A</v>
      </c>
      <c r="D390" t="e">
        <f>VLOOKUP(A390,[2]Sheet2!$A:$A,1,FALSE)</f>
        <v>#N/A</v>
      </c>
      <c r="E390" t="e">
        <f>VLOOKUP(A390,[3]cortex!$A:$A,1,FALSE)</f>
        <v>#N/A</v>
      </c>
      <c r="F390" t="e">
        <f>VLOOKUP(A390,[4]liver!$A:$A,1,FALSE)</f>
        <v>#N/A</v>
      </c>
      <c r="H390">
        <f t="shared" si="6"/>
        <v>0</v>
      </c>
    </row>
    <row r="391" spans="1:8" x14ac:dyDescent="0.2">
      <c r="A391" s="1" t="s">
        <v>350</v>
      </c>
      <c r="B391" t="e">
        <f>VLOOKUP(A391,'[1]Table S2'!$B$3:$B$509,1,FALSE)</f>
        <v>#N/A</v>
      </c>
      <c r="C391" t="e">
        <f>VLOOKUP(A391,'[1]Table S5'!$B$3:$B$641,1,FALSE)</f>
        <v>#N/A</v>
      </c>
      <c r="D391" t="e">
        <f>VLOOKUP(A391,[2]Sheet2!$A:$A,1,FALSE)</f>
        <v>#N/A</v>
      </c>
      <c r="E391" t="e">
        <f>VLOOKUP(A391,[3]cortex!$A:$A,1,FALSE)</f>
        <v>#N/A</v>
      </c>
      <c r="F391" t="e">
        <f>VLOOKUP(A391,[4]liver!$A:$A,1,FALSE)</f>
        <v>#N/A</v>
      </c>
      <c r="H391">
        <f t="shared" si="6"/>
        <v>0</v>
      </c>
    </row>
    <row r="392" spans="1:8" x14ac:dyDescent="0.2">
      <c r="A392" s="1" t="s">
        <v>351</v>
      </c>
      <c r="B392" t="e">
        <f>VLOOKUP(A392,'[1]Table S2'!$B$3:$B$509,1,FALSE)</f>
        <v>#N/A</v>
      </c>
      <c r="C392" t="e">
        <f>VLOOKUP(A392,'[1]Table S5'!$B$3:$B$641,1,FALSE)</f>
        <v>#N/A</v>
      </c>
      <c r="D392" t="e">
        <f>VLOOKUP(A392,[2]Sheet2!$A:$A,1,FALSE)</f>
        <v>#N/A</v>
      </c>
      <c r="E392" t="e">
        <f>VLOOKUP(A392,[3]cortex!$A:$A,1,FALSE)</f>
        <v>#N/A</v>
      </c>
      <c r="F392" t="e">
        <f>VLOOKUP(A392,[4]liver!$A:$A,1,FALSE)</f>
        <v>#N/A</v>
      </c>
      <c r="H392">
        <f t="shared" si="6"/>
        <v>0</v>
      </c>
    </row>
    <row r="393" spans="1:8" x14ac:dyDescent="0.2">
      <c r="A393" s="1" t="s">
        <v>352</v>
      </c>
      <c r="B393" t="e">
        <f>VLOOKUP(A393,'[1]Table S2'!$B$3:$B$509,1,FALSE)</f>
        <v>#N/A</v>
      </c>
      <c r="C393" t="e">
        <f>VLOOKUP(A393,'[1]Table S5'!$B$3:$B$641,1,FALSE)</f>
        <v>#N/A</v>
      </c>
      <c r="D393" t="e">
        <f>VLOOKUP(A393,[2]Sheet2!$A:$A,1,FALSE)</f>
        <v>#N/A</v>
      </c>
      <c r="E393" t="e">
        <f>VLOOKUP(A393,[3]cortex!$A:$A,1,FALSE)</f>
        <v>#N/A</v>
      </c>
      <c r="F393" t="e">
        <f>VLOOKUP(A393,[4]liver!$A:$A,1,FALSE)</f>
        <v>#N/A</v>
      </c>
      <c r="H393">
        <f t="shared" si="6"/>
        <v>0</v>
      </c>
    </row>
    <row r="394" spans="1:8" x14ac:dyDescent="0.2">
      <c r="A394" s="1" t="s">
        <v>353</v>
      </c>
      <c r="B394" t="e">
        <f>VLOOKUP(A394,'[1]Table S2'!$B$3:$B$509,1,FALSE)</f>
        <v>#N/A</v>
      </c>
      <c r="C394" t="e">
        <f>VLOOKUP(A394,'[1]Table S5'!$B$3:$B$641,1,FALSE)</f>
        <v>#N/A</v>
      </c>
      <c r="D394" t="e">
        <f>VLOOKUP(A394,[2]Sheet2!$A:$A,1,FALSE)</f>
        <v>#N/A</v>
      </c>
      <c r="E394" t="e">
        <f>VLOOKUP(A394,[3]cortex!$A:$A,1,FALSE)</f>
        <v>#N/A</v>
      </c>
      <c r="F394" t="e">
        <f>VLOOKUP(A394,[4]liver!$A:$A,1,FALSE)</f>
        <v>#N/A</v>
      </c>
      <c r="H394">
        <f t="shared" si="6"/>
        <v>0</v>
      </c>
    </row>
    <row r="395" spans="1:8" x14ac:dyDescent="0.2">
      <c r="A395" s="1" t="s">
        <v>354</v>
      </c>
      <c r="B395" t="e">
        <f>VLOOKUP(A395,'[1]Table S2'!$B$3:$B$509,1,FALSE)</f>
        <v>#N/A</v>
      </c>
      <c r="C395" t="e">
        <f>VLOOKUP(A395,'[1]Table S5'!$B$3:$B$641,1,FALSE)</f>
        <v>#N/A</v>
      </c>
      <c r="D395" t="e">
        <f>VLOOKUP(A395,[2]Sheet2!$A:$A,1,FALSE)</f>
        <v>#N/A</v>
      </c>
      <c r="E395" t="e">
        <f>VLOOKUP(A395,[3]cortex!$A:$A,1,FALSE)</f>
        <v>#N/A</v>
      </c>
      <c r="F395" t="e">
        <f>VLOOKUP(A395,[4]liver!$A:$A,1,FALSE)</f>
        <v>#N/A</v>
      </c>
      <c r="H395">
        <f t="shared" si="6"/>
        <v>0</v>
      </c>
    </row>
    <row r="396" spans="1:8" x14ac:dyDescent="0.2">
      <c r="A396" s="1" t="s">
        <v>355</v>
      </c>
      <c r="B396" t="e">
        <f>VLOOKUP(A396,'[1]Table S2'!$B$3:$B$509,1,FALSE)</f>
        <v>#N/A</v>
      </c>
      <c r="C396" t="e">
        <f>VLOOKUP(A396,'[1]Table S5'!$B$3:$B$641,1,FALSE)</f>
        <v>#N/A</v>
      </c>
      <c r="D396" t="e">
        <f>VLOOKUP(A396,[2]Sheet2!$A:$A,1,FALSE)</f>
        <v>#N/A</v>
      </c>
      <c r="E396" t="e">
        <f>VLOOKUP(A396,[3]cortex!$A:$A,1,FALSE)</f>
        <v>#N/A</v>
      </c>
      <c r="F396" t="e">
        <f>VLOOKUP(A396,[4]liver!$A:$A,1,FALSE)</f>
        <v>#N/A</v>
      </c>
      <c r="H396">
        <f t="shared" si="6"/>
        <v>0</v>
      </c>
    </row>
    <row r="397" spans="1:8" x14ac:dyDescent="0.2">
      <c r="A397" s="1" t="s">
        <v>356</v>
      </c>
      <c r="B397" t="e">
        <f>VLOOKUP(A397,'[1]Table S2'!$B$3:$B$509,1,FALSE)</f>
        <v>#N/A</v>
      </c>
      <c r="C397" t="e">
        <f>VLOOKUP(A397,'[1]Table S5'!$B$3:$B$641,1,FALSE)</f>
        <v>#N/A</v>
      </c>
      <c r="D397" t="e">
        <f>VLOOKUP(A397,[2]Sheet2!$A:$A,1,FALSE)</f>
        <v>#N/A</v>
      </c>
      <c r="E397" t="e">
        <f>VLOOKUP(A397,[3]cortex!$A:$A,1,FALSE)</f>
        <v>#N/A</v>
      </c>
      <c r="F397" t="e">
        <f>VLOOKUP(A397,[4]liver!$A:$A,1,FALSE)</f>
        <v>#N/A</v>
      </c>
      <c r="H397">
        <f t="shared" si="6"/>
        <v>0</v>
      </c>
    </row>
    <row r="398" spans="1:8" x14ac:dyDescent="0.2">
      <c r="A398" s="1" t="s">
        <v>357</v>
      </c>
      <c r="B398" t="e">
        <f>VLOOKUP(A398,'[1]Table S2'!$B$3:$B$509,1,FALSE)</f>
        <v>#N/A</v>
      </c>
      <c r="C398" t="e">
        <f>VLOOKUP(A398,'[1]Table S5'!$B$3:$B$641,1,FALSE)</f>
        <v>#N/A</v>
      </c>
      <c r="D398" t="e">
        <f>VLOOKUP(A398,[2]Sheet2!$A:$A,1,FALSE)</f>
        <v>#N/A</v>
      </c>
      <c r="E398" t="e">
        <f>VLOOKUP(A398,[3]cortex!$A:$A,1,FALSE)</f>
        <v>#N/A</v>
      </c>
      <c r="F398" t="e">
        <f>VLOOKUP(A398,[4]liver!$A:$A,1,FALSE)</f>
        <v>#N/A</v>
      </c>
      <c r="H398">
        <f t="shared" si="6"/>
        <v>0</v>
      </c>
    </row>
    <row r="399" spans="1:8" x14ac:dyDescent="0.2">
      <c r="A399" s="1" t="s">
        <v>358</v>
      </c>
      <c r="B399" t="e">
        <f>VLOOKUP(A399,'[1]Table S2'!$B$3:$B$509,1,FALSE)</f>
        <v>#N/A</v>
      </c>
      <c r="C399" t="e">
        <f>VLOOKUP(A399,'[1]Table S5'!$B$3:$B$641,1,FALSE)</f>
        <v>#N/A</v>
      </c>
      <c r="D399" t="e">
        <f>VLOOKUP(A399,[2]Sheet2!$A:$A,1,FALSE)</f>
        <v>#N/A</v>
      </c>
      <c r="E399" t="e">
        <f>VLOOKUP(A399,[3]cortex!$A:$A,1,FALSE)</f>
        <v>#N/A</v>
      </c>
      <c r="F399" t="e">
        <f>VLOOKUP(A399,[4]liver!$A:$A,1,FALSE)</f>
        <v>#N/A</v>
      </c>
      <c r="H399">
        <f t="shared" si="6"/>
        <v>0</v>
      </c>
    </row>
    <row r="400" spans="1:8" x14ac:dyDescent="0.2">
      <c r="A400" s="1" t="s">
        <v>359</v>
      </c>
      <c r="B400" t="e">
        <f>VLOOKUP(A400,'[1]Table S2'!$B$3:$B$509,1,FALSE)</f>
        <v>#N/A</v>
      </c>
      <c r="C400" t="e">
        <f>VLOOKUP(A400,'[1]Table S5'!$B$3:$B$641,1,FALSE)</f>
        <v>#N/A</v>
      </c>
      <c r="D400" t="e">
        <f>VLOOKUP(A400,[2]Sheet2!$A:$A,1,FALSE)</f>
        <v>#N/A</v>
      </c>
      <c r="E400" t="e">
        <f>VLOOKUP(A400,[3]cortex!$A:$A,1,FALSE)</f>
        <v>#N/A</v>
      </c>
      <c r="F400" t="e">
        <f>VLOOKUP(A400,[4]liver!$A:$A,1,FALSE)</f>
        <v>#N/A</v>
      </c>
      <c r="H400">
        <f t="shared" si="6"/>
        <v>0</v>
      </c>
    </row>
    <row r="401" spans="1:8" x14ac:dyDescent="0.2">
      <c r="A401" s="1" t="s">
        <v>360</v>
      </c>
      <c r="B401" t="e">
        <f>VLOOKUP(A401,'[1]Table S2'!$B$3:$B$509,1,FALSE)</f>
        <v>#N/A</v>
      </c>
      <c r="C401" t="e">
        <f>VLOOKUP(A401,'[1]Table S5'!$B$3:$B$641,1,FALSE)</f>
        <v>#N/A</v>
      </c>
      <c r="D401" t="e">
        <f>VLOOKUP(A401,[2]Sheet2!$A:$A,1,FALSE)</f>
        <v>#N/A</v>
      </c>
      <c r="E401" t="e">
        <f>VLOOKUP(A401,[3]cortex!$A:$A,1,FALSE)</f>
        <v>#N/A</v>
      </c>
      <c r="F401" t="e">
        <f>VLOOKUP(A401,[4]liver!$A:$A,1,FALSE)</f>
        <v>#N/A</v>
      </c>
      <c r="H401">
        <f t="shared" si="6"/>
        <v>0</v>
      </c>
    </row>
    <row r="402" spans="1:8" x14ac:dyDescent="0.2">
      <c r="A402" s="1" t="s">
        <v>361</v>
      </c>
      <c r="B402" t="e">
        <f>VLOOKUP(A402,'[1]Table S2'!$B$3:$B$509,1,FALSE)</f>
        <v>#N/A</v>
      </c>
      <c r="C402" t="e">
        <f>VLOOKUP(A402,'[1]Table S5'!$B$3:$B$641,1,FALSE)</f>
        <v>#N/A</v>
      </c>
      <c r="D402" t="e">
        <f>VLOOKUP(A402,[2]Sheet2!$A:$A,1,FALSE)</f>
        <v>#N/A</v>
      </c>
      <c r="E402" t="e">
        <f>VLOOKUP(A402,[3]cortex!$A:$A,1,FALSE)</f>
        <v>#N/A</v>
      </c>
      <c r="F402" t="e">
        <f>VLOOKUP(A402,[4]liver!$A:$A,1,FALSE)</f>
        <v>#N/A</v>
      </c>
      <c r="H402">
        <f t="shared" si="6"/>
        <v>0</v>
      </c>
    </row>
    <row r="403" spans="1:8" x14ac:dyDescent="0.2">
      <c r="A403" s="1" t="s">
        <v>362</v>
      </c>
      <c r="B403" t="e">
        <f>VLOOKUP(A403,'[1]Table S2'!$B$3:$B$509,1,FALSE)</f>
        <v>#N/A</v>
      </c>
      <c r="C403" t="e">
        <f>VLOOKUP(A403,'[1]Table S5'!$B$3:$B$641,1,FALSE)</f>
        <v>#N/A</v>
      </c>
      <c r="D403" t="e">
        <f>VLOOKUP(A403,[2]Sheet2!$A:$A,1,FALSE)</f>
        <v>#N/A</v>
      </c>
      <c r="E403" t="e">
        <f>VLOOKUP(A403,[3]cortex!$A:$A,1,FALSE)</f>
        <v>#N/A</v>
      </c>
      <c r="F403" t="e">
        <f>VLOOKUP(A403,[4]liver!$A:$A,1,FALSE)</f>
        <v>#N/A</v>
      </c>
      <c r="H403">
        <f t="shared" si="6"/>
        <v>0</v>
      </c>
    </row>
    <row r="404" spans="1:8" x14ac:dyDescent="0.2">
      <c r="A404" s="1" t="s">
        <v>363</v>
      </c>
      <c r="B404" t="e">
        <f>VLOOKUP(A404,'[1]Table S2'!$B$3:$B$509,1,FALSE)</f>
        <v>#N/A</v>
      </c>
      <c r="C404" t="e">
        <f>VLOOKUP(A404,'[1]Table S5'!$B$3:$B$641,1,FALSE)</f>
        <v>#N/A</v>
      </c>
      <c r="D404" t="e">
        <f>VLOOKUP(A404,[2]Sheet2!$A:$A,1,FALSE)</f>
        <v>#N/A</v>
      </c>
      <c r="E404" t="e">
        <f>VLOOKUP(A404,[3]cortex!$A:$A,1,FALSE)</f>
        <v>#N/A</v>
      </c>
      <c r="F404" t="e">
        <f>VLOOKUP(A404,[4]liver!$A:$A,1,FALSE)</f>
        <v>#N/A</v>
      </c>
      <c r="H404">
        <f t="shared" si="6"/>
        <v>0</v>
      </c>
    </row>
    <row r="405" spans="1:8" x14ac:dyDescent="0.2">
      <c r="A405" s="1" t="s">
        <v>364</v>
      </c>
      <c r="B405" t="e">
        <f>VLOOKUP(A405,'[1]Table S2'!$B$3:$B$509,1,FALSE)</f>
        <v>#N/A</v>
      </c>
      <c r="C405" t="e">
        <f>VLOOKUP(A405,'[1]Table S5'!$B$3:$B$641,1,FALSE)</f>
        <v>#N/A</v>
      </c>
      <c r="D405" t="e">
        <f>VLOOKUP(A405,[2]Sheet2!$A:$A,1,FALSE)</f>
        <v>#N/A</v>
      </c>
      <c r="E405" t="e">
        <f>VLOOKUP(A405,[3]cortex!$A:$A,1,FALSE)</f>
        <v>#N/A</v>
      </c>
      <c r="F405" t="e">
        <f>VLOOKUP(A405,[4]liver!$A:$A,1,FALSE)</f>
        <v>#N/A</v>
      </c>
      <c r="H405">
        <f t="shared" si="6"/>
        <v>0</v>
      </c>
    </row>
    <row r="406" spans="1:8" x14ac:dyDescent="0.2">
      <c r="A406" s="1" t="s">
        <v>365</v>
      </c>
      <c r="B406" t="e">
        <f>VLOOKUP(A406,'[1]Table S2'!$B$3:$B$509,1,FALSE)</f>
        <v>#N/A</v>
      </c>
      <c r="C406" t="e">
        <f>VLOOKUP(A406,'[1]Table S5'!$B$3:$B$641,1,FALSE)</f>
        <v>#N/A</v>
      </c>
      <c r="D406" t="e">
        <f>VLOOKUP(A406,[2]Sheet2!$A:$A,1,FALSE)</f>
        <v>#N/A</v>
      </c>
      <c r="E406" t="e">
        <f>VLOOKUP(A406,[3]cortex!$A:$A,1,FALSE)</f>
        <v>#N/A</v>
      </c>
      <c r="F406" t="e">
        <f>VLOOKUP(A406,[4]liver!$A:$A,1,FALSE)</f>
        <v>#N/A</v>
      </c>
      <c r="H406">
        <f t="shared" si="6"/>
        <v>0</v>
      </c>
    </row>
    <row r="407" spans="1:8" x14ac:dyDescent="0.2">
      <c r="A407" s="1" t="s">
        <v>366</v>
      </c>
      <c r="B407" t="e">
        <f>VLOOKUP(A407,'[1]Table S2'!$B$3:$B$509,1,FALSE)</f>
        <v>#N/A</v>
      </c>
      <c r="C407" t="e">
        <f>VLOOKUP(A407,'[1]Table S5'!$B$3:$B$641,1,FALSE)</f>
        <v>#N/A</v>
      </c>
      <c r="D407" t="e">
        <f>VLOOKUP(A407,[2]Sheet2!$A:$A,1,FALSE)</f>
        <v>#N/A</v>
      </c>
      <c r="E407" t="e">
        <f>VLOOKUP(A407,[3]cortex!$A:$A,1,FALSE)</f>
        <v>#N/A</v>
      </c>
      <c r="F407" t="e">
        <f>VLOOKUP(A407,[4]liver!$A:$A,1,FALSE)</f>
        <v>#N/A</v>
      </c>
      <c r="H407">
        <f t="shared" si="6"/>
        <v>0</v>
      </c>
    </row>
    <row r="408" spans="1:8" x14ac:dyDescent="0.2">
      <c r="A408" s="1" t="s">
        <v>367</v>
      </c>
      <c r="B408" t="e">
        <f>VLOOKUP(A408,'[1]Table S2'!$B$3:$B$509,1,FALSE)</f>
        <v>#N/A</v>
      </c>
      <c r="C408" t="e">
        <f>VLOOKUP(A408,'[1]Table S5'!$B$3:$B$641,1,FALSE)</f>
        <v>#N/A</v>
      </c>
      <c r="D408" t="e">
        <f>VLOOKUP(A408,[2]Sheet2!$A:$A,1,FALSE)</f>
        <v>#N/A</v>
      </c>
      <c r="E408" t="e">
        <f>VLOOKUP(A408,[3]cortex!$A:$A,1,FALSE)</f>
        <v>#N/A</v>
      </c>
      <c r="F408" t="e">
        <f>VLOOKUP(A408,[4]liver!$A:$A,1,FALSE)</f>
        <v>#N/A</v>
      </c>
      <c r="H408">
        <f t="shared" si="6"/>
        <v>0</v>
      </c>
    </row>
    <row r="409" spans="1:8" x14ac:dyDescent="0.2">
      <c r="A409" s="1" t="s">
        <v>369</v>
      </c>
      <c r="B409" t="e">
        <f>VLOOKUP(A409,'[1]Table S2'!$B$3:$B$509,1,FALSE)</f>
        <v>#N/A</v>
      </c>
      <c r="C409" t="e">
        <f>VLOOKUP(A409,'[1]Table S5'!$B$3:$B$641,1,FALSE)</f>
        <v>#N/A</v>
      </c>
      <c r="D409" t="e">
        <f>VLOOKUP(A409,[2]Sheet2!$A:$A,1,FALSE)</f>
        <v>#N/A</v>
      </c>
      <c r="E409" t="e">
        <f>VLOOKUP(A409,[3]cortex!$A:$A,1,FALSE)</f>
        <v>#N/A</v>
      </c>
      <c r="F409" t="e">
        <f>VLOOKUP(A409,[4]liver!$A:$A,1,FALSE)</f>
        <v>#N/A</v>
      </c>
      <c r="H409">
        <f t="shared" si="6"/>
        <v>0</v>
      </c>
    </row>
    <row r="410" spans="1:8" x14ac:dyDescent="0.2">
      <c r="A410" s="1" t="s">
        <v>371</v>
      </c>
      <c r="B410" t="e">
        <f>VLOOKUP(A410,'[1]Table S2'!$B$3:$B$509,1,FALSE)</f>
        <v>#N/A</v>
      </c>
      <c r="C410" t="e">
        <f>VLOOKUP(A410,'[1]Table S5'!$B$3:$B$641,1,FALSE)</f>
        <v>#N/A</v>
      </c>
      <c r="D410" t="e">
        <f>VLOOKUP(A410,[2]Sheet2!$A:$A,1,FALSE)</f>
        <v>#N/A</v>
      </c>
      <c r="E410" t="e">
        <f>VLOOKUP(A410,[3]cortex!$A:$A,1,FALSE)</f>
        <v>#N/A</v>
      </c>
      <c r="F410" t="e">
        <f>VLOOKUP(A410,[4]liver!$A:$A,1,FALSE)</f>
        <v>#N/A</v>
      </c>
      <c r="H410">
        <f t="shared" si="6"/>
        <v>0</v>
      </c>
    </row>
    <row r="411" spans="1:8" x14ac:dyDescent="0.2">
      <c r="A411" s="1" t="s">
        <v>372</v>
      </c>
      <c r="B411" t="e">
        <f>VLOOKUP(A411,'[1]Table S2'!$B$3:$B$509,1,FALSE)</f>
        <v>#N/A</v>
      </c>
      <c r="C411" t="e">
        <f>VLOOKUP(A411,'[1]Table S5'!$B$3:$B$641,1,FALSE)</f>
        <v>#N/A</v>
      </c>
      <c r="D411" t="e">
        <f>VLOOKUP(A411,[2]Sheet2!$A:$A,1,FALSE)</f>
        <v>#N/A</v>
      </c>
      <c r="E411" t="e">
        <f>VLOOKUP(A411,[3]cortex!$A:$A,1,FALSE)</f>
        <v>#N/A</v>
      </c>
      <c r="F411" t="e">
        <f>VLOOKUP(A411,[4]liver!$A:$A,1,FALSE)</f>
        <v>#N/A</v>
      </c>
      <c r="H411">
        <f t="shared" si="6"/>
        <v>0</v>
      </c>
    </row>
    <row r="412" spans="1:8" x14ac:dyDescent="0.2">
      <c r="A412" s="1" t="s">
        <v>374</v>
      </c>
      <c r="B412" t="e">
        <f>VLOOKUP(A412,'[1]Table S2'!$B$3:$B$509,1,FALSE)</f>
        <v>#N/A</v>
      </c>
      <c r="C412" t="e">
        <f>VLOOKUP(A412,'[1]Table S5'!$B$3:$B$641,1,FALSE)</f>
        <v>#N/A</v>
      </c>
      <c r="D412" t="e">
        <f>VLOOKUP(A412,[2]Sheet2!$A:$A,1,FALSE)</f>
        <v>#N/A</v>
      </c>
      <c r="E412" t="e">
        <f>VLOOKUP(A412,[3]cortex!$A:$A,1,FALSE)</f>
        <v>#N/A</v>
      </c>
      <c r="F412" t="e">
        <f>VLOOKUP(A412,[4]liver!$A:$A,1,FALSE)</f>
        <v>#N/A</v>
      </c>
      <c r="H412">
        <f t="shared" si="6"/>
        <v>0</v>
      </c>
    </row>
    <row r="413" spans="1:8" x14ac:dyDescent="0.2">
      <c r="A413" s="1" t="s">
        <v>375</v>
      </c>
      <c r="B413" t="e">
        <f>VLOOKUP(A413,'[1]Table S2'!$B$3:$B$509,1,FALSE)</f>
        <v>#N/A</v>
      </c>
      <c r="C413" t="e">
        <f>VLOOKUP(A413,'[1]Table S5'!$B$3:$B$641,1,FALSE)</f>
        <v>#N/A</v>
      </c>
      <c r="D413" t="e">
        <f>VLOOKUP(A413,[2]Sheet2!$A:$A,1,FALSE)</f>
        <v>#N/A</v>
      </c>
      <c r="E413" t="e">
        <f>VLOOKUP(A413,[3]cortex!$A:$A,1,FALSE)</f>
        <v>#N/A</v>
      </c>
      <c r="F413" t="e">
        <f>VLOOKUP(A413,[4]liver!$A:$A,1,FALSE)</f>
        <v>#N/A</v>
      </c>
      <c r="H413">
        <f t="shared" si="6"/>
        <v>0</v>
      </c>
    </row>
    <row r="414" spans="1:8" x14ac:dyDescent="0.2">
      <c r="A414" s="1" t="s">
        <v>376</v>
      </c>
      <c r="B414" t="e">
        <f>VLOOKUP(A414,'[1]Table S2'!$B$3:$B$509,1,FALSE)</f>
        <v>#N/A</v>
      </c>
      <c r="C414" t="e">
        <f>VLOOKUP(A414,'[1]Table S5'!$B$3:$B$641,1,FALSE)</f>
        <v>#N/A</v>
      </c>
      <c r="D414" t="e">
        <f>VLOOKUP(A414,[2]Sheet2!$A:$A,1,FALSE)</f>
        <v>#N/A</v>
      </c>
      <c r="E414" t="e">
        <f>VLOOKUP(A414,[3]cortex!$A:$A,1,FALSE)</f>
        <v>#N/A</v>
      </c>
      <c r="F414" t="e">
        <f>VLOOKUP(A414,[4]liver!$A:$A,1,FALSE)</f>
        <v>#N/A</v>
      </c>
      <c r="H414">
        <f t="shared" si="6"/>
        <v>0</v>
      </c>
    </row>
    <row r="415" spans="1:8" x14ac:dyDescent="0.2">
      <c r="A415" s="1" t="s">
        <v>377</v>
      </c>
      <c r="B415" t="e">
        <f>VLOOKUP(A415,'[1]Table S2'!$B$3:$B$509,1,FALSE)</f>
        <v>#N/A</v>
      </c>
      <c r="C415" t="e">
        <f>VLOOKUP(A415,'[1]Table S5'!$B$3:$B$641,1,FALSE)</f>
        <v>#N/A</v>
      </c>
      <c r="D415" t="e">
        <f>VLOOKUP(A415,[2]Sheet2!$A:$A,1,FALSE)</f>
        <v>#N/A</v>
      </c>
      <c r="E415" t="e">
        <f>VLOOKUP(A415,[3]cortex!$A:$A,1,FALSE)</f>
        <v>#N/A</v>
      </c>
      <c r="F415" t="e">
        <f>VLOOKUP(A415,[4]liver!$A:$A,1,FALSE)</f>
        <v>#N/A</v>
      </c>
      <c r="H415">
        <f t="shared" si="6"/>
        <v>0</v>
      </c>
    </row>
    <row r="416" spans="1:8" x14ac:dyDescent="0.2">
      <c r="A416" s="1" t="s">
        <v>378</v>
      </c>
      <c r="B416" t="e">
        <f>VLOOKUP(A416,'[1]Table S2'!$B$3:$B$509,1,FALSE)</f>
        <v>#N/A</v>
      </c>
      <c r="C416" t="e">
        <f>VLOOKUP(A416,'[1]Table S5'!$B$3:$B$641,1,FALSE)</f>
        <v>#N/A</v>
      </c>
      <c r="D416" t="e">
        <f>VLOOKUP(A416,[2]Sheet2!$A:$A,1,FALSE)</f>
        <v>#N/A</v>
      </c>
      <c r="E416" t="e">
        <f>VLOOKUP(A416,[3]cortex!$A:$A,1,FALSE)</f>
        <v>#N/A</v>
      </c>
      <c r="F416" t="e">
        <f>VLOOKUP(A416,[4]liver!$A:$A,1,FALSE)</f>
        <v>#N/A</v>
      </c>
      <c r="H416">
        <f t="shared" si="6"/>
        <v>0</v>
      </c>
    </row>
    <row r="417" spans="1:8" x14ac:dyDescent="0.2">
      <c r="A417" s="1" t="s">
        <v>379</v>
      </c>
      <c r="B417" t="e">
        <f>VLOOKUP(A417,'[1]Table S2'!$B$3:$B$509,1,FALSE)</f>
        <v>#N/A</v>
      </c>
      <c r="C417" t="e">
        <f>VLOOKUP(A417,'[1]Table S5'!$B$3:$B$641,1,FALSE)</f>
        <v>#N/A</v>
      </c>
      <c r="D417" t="e">
        <f>VLOOKUP(A417,[2]Sheet2!$A:$A,1,FALSE)</f>
        <v>#N/A</v>
      </c>
      <c r="E417" t="e">
        <f>VLOOKUP(A417,[3]cortex!$A:$A,1,FALSE)</f>
        <v>#N/A</v>
      </c>
      <c r="F417" t="e">
        <f>VLOOKUP(A417,[4]liver!$A:$A,1,FALSE)</f>
        <v>#N/A</v>
      </c>
      <c r="H417">
        <f t="shared" si="6"/>
        <v>0</v>
      </c>
    </row>
    <row r="418" spans="1:8" x14ac:dyDescent="0.2">
      <c r="A418" s="1" t="s">
        <v>380</v>
      </c>
      <c r="B418" t="e">
        <f>VLOOKUP(A418,'[1]Table S2'!$B$3:$B$509,1,FALSE)</f>
        <v>#N/A</v>
      </c>
      <c r="C418" t="e">
        <f>VLOOKUP(A418,'[1]Table S5'!$B$3:$B$641,1,FALSE)</f>
        <v>#N/A</v>
      </c>
      <c r="D418" t="e">
        <f>VLOOKUP(A418,[2]Sheet2!$A:$A,1,FALSE)</f>
        <v>#N/A</v>
      </c>
      <c r="E418" t="e">
        <f>VLOOKUP(A418,[3]cortex!$A:$A,1,FALSE)</f>
        <v>#N/A</v>
      </c>
      <c r="F418" t="e">
        <f>VLOOKUP(A418,[4]liver!$A:$A,1,FALSE)</f>
        <v>#N/A</v>
      </c>
      <c r="H418">
        <f t="shared" si="6"/>
        <v>0</v>
      </c>
    </row>
    <row r="419" spans="1:8" x14ac:dyDescent="0.2">
      <c r="A419" s="1" t="s">
        <v>381</v>
      </c>
      <c r="B419" t="e">
        <f>VLOOKUP(A419,'[1]Table S2'!$B$3:$B$509,1,FALSE)</f>
        <v>#N/A</v>
      </c>
      <c r="C419" t="e">
        <f>VLOOKUP(A419,'[1]Table S5'!$B$3:$B$641,1,FALSE)</f>
        <v>#N/A</v>
      </c>
      <c r="D419" t="e">
        <f>VLOOKUP(A419,[2]Sheet2!$A:$A,1,FALSE)</f>
        <v>#N/A</v>
      </c>
      <c r="E419" t="e">
        <f>VLOOKUP(A419,[3]cortex!$A:$A,1,FALSE)</f>
        <v>#N/A</v>
      </c>
      <c r="F419" t="e">
        <f>VLOOKUP(A419,[4]liver!$A:$A,1,FALSE)</f>
        <v>#N/A</v>
      </c>
      <c r="H419">
        <f t="shared" si="6"/>
        <v>0</v>
      </c>
    </row>
    <row r="420" spans="1:8" x14ac:dyDescent="0.2">
      <c r="A420" s="1" t="s">
        <v>382</v>
      </c>
      <c r="B420" t="e">
        <f>VLOOKUP(A420,'[1]Table S2'!$B$3:$B$509,1,FALSE)</f>
        <v>#N/A</v>
      </c>
      <c r="C420" t="e">
        <f>VLOOKUP(A420,'[1]Table S5'!$B$3:$B$641,1,FALSE)</f>
        <v>#N/A</v>
      </c>
      <c r="D420" t="e">
        <f>VLOOKUP(A420,[2]Sheet2!$A:$A,1,FALSE)</f>
        <v>#N/A</v>
      </c>
      <c r="E420" t="e">
        <f>VLOOKUP(A420,[3]cortex!$A:$A,1,FALSE)</f>
        <v>#N/A</v>
      </c>
      <c r="F420" t="e">
        <f>VLOOKUP(A420,[4]liver!$A:$A,1,FALSE)</f>
        <v>#N/A</v>
      </c>
      <c r="H420">
        <f t="shared" si="6"/>
        <v>0</v>
      </c>
    </row>
    <row r="421" spans="1:8" x14ac:dyDescent="0.2">
      <c r="A421" s="1" t="s">
        <v>384</v>
      </c>
      <c r="B421" t="e">
        <f>VLOOKUP(A421,'[1]Table S2'!$B$3:$B$509,1,FALSE)</f>
        <v>#N/A</v>
      </c>
      <c r="C421" t="e">
        <f>VLOOKUP(A421,'[1]Table S5'!$B$3:$B$641,1,FALSE)</f>
        <v>#N/A</v>
      </c>
      <c r="D421" t="e">
        <f>VLOOKUP(A421,[2]Sheet2!$A:$A,1,FALSE)</f>
        <v>#N/A</v>
      </c>
      <c r="E421" t="e">
        <f>VLOOKUP(A421,[3]cortex!$A:$A,1,FALSE)</f>
        <v>#N/A</v>
      </c>
      <c r="F421" t="e">
        <f>VLOOKUP(A421,[4]liver!$A:$A,1,FALSE)</f>
        <v>#N/A</v>
      </c>
      <c r="H421">
        <f t="shared" si="6"/>
        <v>0</v>
      </c>
    </row>
    <row r="422" spans="1:8" x14ac:dyDescent="0.2">
      <c r="A422" s="1" t="s">
        <v>385</v>
      </c>
      <c r="B422" t="e">
        <f>VLOOKUP(A422,'[1]Table S2'!$B$3:$B$509,1,FALSE)</f>
        <v>#N/A</v>
      </c>
      <c r="C422" t="e">
        <f>VLOOKUP(A422,'[1]Table S5'!$B$3:$B$641,1,FALSE)</f>
        <v>#N/A</v>
      </c>
      <c r="D422" t="e">
        <f>VLOOKUP(A422,[2]Sheet2!$A:$A,1,FALSE)</f>
        <v>#N/A</v>
      </c>
      <c r="E422" t="e">
        <f>VLOOKUP(A422,[3]cortex!$A:$A,1,FALSE)</f>
        <v>#N/A</v>
      </c>
      <c r="F422" t="e">
        <f>VLOOKUP(A422,[4]liver!$A:$A,1,FALSE)</f>
        <v>#N/A</v>
      </c>
      <c r="H422">
        <f t="shared" si="6"/>
        <v>0</v>
      </c>
    </row>
    <row r="423" spans="1:8" x14ac:dyDescent="0.2">
      <c r="A423" s="1" t="s">
        <v>387</v>
      </c>
      <c r="B423" t="e">
        <f>VLOOKUP(A423,'[1]Table S2'!$B$3:$B$509,1,FALSE)</f>
        <v>#N/A</v>
      </c>
      <c r="C423" t="e">
        <f>VLOOKUP(A423,'[1]Table S5'!$B$3:$B$641,1,FALSE)</f>
        <v>#N/A</v>
      </c>
      <c r="D423" t="e">
        <f>VLOOKUP(A423,[2]Sheet2!$A:$A,1,FALSE)</f>
        <v>#N/A</v>
      </c>
      <c r="E423" t="e">
        <f>VLOOKUP(A423,[3]cortex!$A:$A,1,FALSE)</f>
        <v>#N/A</v>
      </c>
      <c r="F423" t="e">
        <f>VLOOKUP(A423,[4]liver!$A:$A,1,FALSE)</f>
        <v>#N/A</v>
      </c>
      <c r="H423">
        <f t="shared" si="6"/>
        <v>0</v>
      </c>
    </row>
    <row r="424" spans="1:8" x14ac:dyDescent="0.2">
      <c r="A424" s="1" t="s">
        <v>388</v>
      </c>
      <c r="B424" t="e">
        <f>VLOOKUP(A424,'[1]Table S2'!$B$3:$B$509,1,FALSE)</f>
        <v>#N/A</v>
      </c>
      <c r="C424" t="e">
        <f>VLOOKUP(A424,'[1]Table S5'!$B$3:$B$641,1,FALSE)</f>
        <v>#N/A</v>
      </c>
      <c r="D424" t="e">
        <f>VLOOKUP(A424,[2]Sheet2!$A:$A,1,FALSE)</f>
        <v>#N/A</v>
      </c>
      <c r="E424" t="e">
        <f>VLOOKUP(A424,[3]cortex!$A:$A,1,FALSE)</f>
        <v>#N/A</v>
      </c>
      <c r="F424" t="e">
        <f>VLOOKUP(A424,[4]liver!$A:$A,1,FALSE)</f>
        <v>#N/A</v>
      </c>
      <c r="H424">
        <f t="shared" si="6"/>
        <v>0</v>
      </c>
    </row>
    <row r="425" spans="1:8" x14ac:dyDescent="0.2">
      <c r="A425" s="1" t="s">
        <v>389</v>
      </c>
      <c r="B425" t="e">
        <f>VLOOKUP(A425,'[1]Table S2'!$B$3:$B$509,1,FALSE)</f>
        <v>#N/A</v>
      </c>
      <c r="C425" t="e">
        <f>VLOOKUP(A425,'[1]Table S5'!$B$3:$B$641,1,FALSE)</f>
        <v>#N/A</v>
      </c>
      <c r="D425" t="e">
        <f>VLOOKUP(A425,[2]Sheet2!$A:$A,1,FALSE)</f>
        <v>#N/A</v>
      </c>
      <c r="E425" t="e">
        <f>VLOOKUP(A425,[3]cortex!$A:$A,1,FALSE)</f>
        <v>#N/A</v>
      </c>
      <c r="F425" t="e">
        <f>VLOOKUP(A425,[4]liver!$A:$A,1,FALSE)</f>
        <v>#N/A</v>
      </c>
      <c r="H425">
        <f t="shared" si="6"/>
        <v>0</v>
      </c>
    </row>
    <row r="426" spans="1:8" x14ac:dyDescent="0.2">
      <c r="A426" s="1" t="s">
        <v>390</v>
      </c>
      <c r="B426" t="e">
        <f>VLOOKUP(A426,'[1]Table S2'!$B$3:$B$509,1,FALSE)</f>
        <v>#N/A</v>
      </c>
      <c r="C426" t="e">
        <f>VLOOKUP(A426,'[1]Table S5'!$B$3:$B$641,1,FALSE)</f>
        <v>#N/A</v>
      </c>
      <c r="D426" t="e">
        <f>VLOOKUP(A426,[2]Sheet2!$A:$A,1,FALSE)</f>
        <v>#N/A</v>
      </c>
      <c r="E426" t="e">
        <f>VLOOKUP(A426,[3]cortex!$A:$A,1,FALSE)</f>
        <v>#N/A</v>
      </c>
      <c r="F426" t="e">
        <f>VLOOKUP(A426,[4]liver!$A:$A,1,FALSE)</f>
        <v>#N/A</v>
      </c>
      <c r="H426">
        <f t="shared" si="6"/>
        <v>0</v>
      </c>
    </row>
    <row r="427" spans="1:8" x14ac:dyDescent="0.2">
      <c r="A427" s="1" t="s">
        <v>391</v>
      </c>
      <c r="B427" t="e">
        <f>VLOOKUP(A427,'[1]Table S2'!$B$3:$B$509,1,FALSE)</f>
        <v>#N/A</v>
      </c>
      <c r="C427" t="e">
        <f>VLOOKUP(A427,'[1]Table S5'!$B$3:$B$641,1,FALSE)</f>
        <v>#N/A</v>
      </c>
      <c r="D427" t="e">
        <f>VLOOKUP(A427,[2]Sheet2!$A:$A,1,FALSE)</f>
        <v>#N/A</v>
      </c>
      <c r="E427" t="e">
        <f>VLOOKUP(A427,[3]cortex!$A:$A,1,FALSE)</f>
        <v>#N/A</v>
      </c>
      <c r="F427" t="e">
        <f>VLOOKUP(A427,[4]liver!$A:$A,1,FALSE)</f>
        <v>#N/A</v>
      </c>
      <c r="H427">
        <f t="shared" si="6"/>
        <v>0</v>
      </c>
    </row>
    <row r="428" spans="1:8" x14ac:dyDescent="0.2">
      <c r="A428" s="1" t="s">
        <v>392</v>
      </c>
      <c r="B428" t="e">
        <f>VLOOKUP(A428,'[1]Table S2'!$B$3:$B$509,1,FALSE)</f>
        <v>#N/A</v>
      </c>
      <c r="C428" t="e">
        <f>VLOOKUP(A428,'[1]Table S5'!$B$3:$B$641,1,FALSE)</f>
        <v>#N/A</v>
      </c>
      <c r="D428" t="e">
        <f>VLOOKUP(A428,[2]Sheet2!$A:$A,1,FALSE)</f>
        <v>#N/A</v>
      </c>
      <c r="E428" t="e">
        <f>VLOOKUP(A428,[3]cortex!$A:$A,1,FALSE)</f>
        <v>#N/A</v>
      </c>
      <c r="F428" t="e">
        <f>VLOOKUP(A428,[4]liver!$A:$A,1,FALSE)</f>
        <v>#N/A</v>
      </c>
      <c r="H428">
        <f t="shared" si="6"/>
        <v>0</v>
      </c>
    </row>
    <row r="429" spans="1:8" x14ac:dyDescent="0.2">
      <c r="A429" s="1" t="s">
        <v>393</v>
      </c>
      <c r="B429" t="e">
        <f>VLOOKUP(A429,'[1]Table S2'!$B$3:$B$509,1,FALSE)</f>
        <v>#N/A</v>
      </c>
      <c r="C429" t="e">
        <f>VLOOKUP(A429,'[1]Table S5'!$B$3:$B$641,1,FALSE)</f>
        <v>#N/A</v>
      </c>
      <c r="D429" t="e">
        <f>VLOOKUP(A429,[2]Sheet2!$A:$A,1,FALSE)</f>
        <v>#N/A</v>
      </c>
      <c r="E429" t="e">
        <f>VLOOKUP(A429,[3]cortex!$A:$A,1,FALSE)</f>
        <v>#N/A</v>
      </c>
      <c r="F429" t="e">
        <f>VLOOKUP(A429,[4]liver!$A:$A,1,FALSE)</f>
        <v>#N/A</v>
      </c>
      <c r="H429">
        <f t="shared" si="6"/>
        <v>0</v>
      </c>
    </row>
    <row r="430" spans="1:8" x14ac:dyDescent="0.2">
      <c r="A430" s="1" t="s">
        <v>394</v>
      </c>
      <c r="B430" t="e">
        <f>VLOOKUP(A430,'[1]Table S2'!$B$3:$B$509,1,FALSE)</f>
        <v>#N/A</v>
      </c>
      <c r="C430" t="e">
        <f>VLOOKUP(A430,'[1]Table S5'!$B$3:$B$641,1,FALSE)</f>
        <v>#N/A</v>
      </c>
      <c r="D430" t="e">
        <f>VLOOKUP(A430,[2]Sheet2!$A:$A,1,FALSE)</f>
        <v>#N/A</v>
      </c>
      <c r="E430" t="e">
        <f>VLOOKUP(A430,[3]cortex!$A:$A,1,FALSE)</f>
        <v>#N/A</v>
      </c>
      <c r="F430" t="e">
        <f>VLOOKUP(A430,[4]liver!$A:$A,1,FALSE)</f>
        <v>#N/A</v>
      </c>
      <c r="H430">
        <f t="shared" si="6"/>
        <v>0</v>
      </c>
    </row>
    <row r="431" spans="1:8" x14ac:dyDescent="0.2">
      <c r="A431" s="1" t="s">
        <v>395</v>
      </c>
      <c r="B431" t="e">
        <f>VLOOKUP(A431,'[1]Table S2'!$B$3:$B$509,1,FALSE)</f>
        <v>#N/A</v>
      </c>
      <c r="C431" t="e">
        <f>VLOOKUP(A431,'[1]Table S5'!$B$3:$B$641,1,FALSE)</f>
        <v>#N/A</v>
      </c>
      <c r="D431" t="e">
        <f>VLOOKUP(A431,[2]Sheet2!$A:$A,1,FALSE)</f>
        <v>#N/A</v>
      </c>
      <c r="E431" t="e">
        <f>VLOOKUP(A431,[3]cortex!$A:$A,1,FALSE)</f>
        <v>#N/A</v>
      </c>
      <c r="F431" t="e">
        <f>VLOOKUP(A431,[4]liver!$A:$A,1,FALSE)</f>
        <v>#N/A</v>
      </c>
      <c r="H431">
        <f t="shared" si="6"/>
        <v>0</v>
      </c>
    </row>
    <row r="432" spans="1:8" x14ac:dyDescent="0.2">
      <c r="A432" s="1" t="s">
        <v>396</v>
      </c>
      <c r="B432" t="e">
        <f>VLOOKUP(A432,'[1]Table S2'!$B$3:$B$509,1,FALSE)</f>
        <v>#N/A</v>
      </c>
      <c r="C432" t="e">
        <f>VLOOKUP(A432,'[1]Table S5'!$B$3:$B$641,1,FALSE)</f>
        <v>#N/A</v>
      </c>
      <c r="D432" t="e">
        <f>VLOOKUP(A432,[2]Sheet2!$A:$A,1,FALSE)</f>
        <v>#N/A</v>
      </c>
      <c r="E432" t="e">
        <f>VLOOKUP(A432,[3]cortex!$A:$A,1,FALSE)</f>
        <v>#N/A</v>
      </c>
      <c r="F432" t="e">
        <f>VLOOKUP(A432,[4]liver!$A:$A,1,FALSE)</f>
        <v>#N/A</v>
      </c>
      <c r="H432">
        <f t="shared" si="6"/>
        <v>0</v>
      </c>
    </row>
    <row r="433" spans="1:8" x14ac:dyDescent="0.2">
      <c r="A433" s="1" t="s">
        <v>397</v>
      </c>
      <c r="B433" t="e">
        <f>VLOOKUP(A433,'[1]Table S2'!$B$3:$B$509,1,FALSE)</f>
        <v>#N/A</v>
      </c>
      <c r="C433" t="e">
        <f>VLOOKUP(A433,'[1]Table S5'!$B$3:$B$641,1,FALSE)</f>
        <v>#N/A</v>
      </c>
      <c r="D433" t="e">
        <f>VLOOKUP(A433,[2]Sheet2!$A:$A,1,FALSE)</f>
        <v>#N/A</v>
      </c>
      <c r="E433" t="e">
        <f>VLOOKUP(A433,[3]cortex!$A:$A,1,FALSE)</f>
        <v>#N/A</v>
      </c>
      <c r="F433" t="e">
        <f>VLOOKUP(A433,[4]liver!$A:$A,1,FALSE)</f>
        <v>#N/A</v>
      </c>
      <c r="H433">
        <f t="shared" si="6"/>
        <v>0</v>
      </c>
    </row>
    <row r="434" spans="1:8" x14ac:dyDescent="0.2">
      <c r="A434" s="1" t="s">
        <v>398</v>
      </c>
      <c r="B434" t="e">
        <f>VLOOKUP(A434,'[1]Table S2'!$B$3:$B$509,1,FALSE)</f>
        <v>#N/A</v>
      </c>
      <c r="C434" t="e">
        <f>VLOOKUP(A434,'[1]Table S5'!$B$3:$B$641,1,FALSE)</f>
        <v>#N/A</v>
      </c>
      <c r="D434" t="e">
        <f>VLOOKUP(A434,[2]Sheet2!$A:$A,1,FALSE)</f>
        <v>#N/A</v>
      </c>
      <c r="E434" t="e">
        <f>VLOOKUP(A434,[3]cortex!$A:$A,1,FALSE)</f>
        <v>#N/A</v>
      </c>
      <c r="F434" t="e">
        <f>VLOOKUP(A434,[4]liver!$A:$A,1,FALSE)</f>
        <v>#N/A</v>
      </c>
      <c r="H434">
        <f t="shared" si="6"/>
        <v>0</v>
      </c>
    </row>
    <row r="435" spans="1:8" x14ac:dyDescent="0.2">
      <c r="A435" s="1" t="s">
        <v>399</v>
      </c>
      <c r="B435" t="e">
        <f>VLOOKUP(A435,'[1]Table S2'!$B$3:$B$509,1,FALSE)</f>
        <v>#N/A</v>
      </c>
      <c r="C435" t="e">
        <f>VLOOKUP(A435,'[1]Table S5'!$B$3:$B$641,1,FALSE)</f>
        <v>#N/A</v>
      </c>
      <c r="D435" t="e">
        <f>VLOOKUP(A435,[2]Sheet2!$A:$A,1,FALSE)</f>
        <v>#N/A</v>
      </c>
      <c r="E435" t="e">
        <f>VLOOKUP(A435,[3]cortex!$A:$A,1,FALSE)</f>
        <v>#N/A</v>
      </c>
      <c r="F435" t="e">
        <f>VLOOKUP(A435,[4]liver!$A:$A,1,FALSE)</f>
        <v>#N/A</v>
      </c>
      <c r="H435">
        <f t="shared" si="6"/>
        <v>0</v>
      </c>
    </row>
    <row r="436" spans="1:8" x14ac:dyDescent="0.2">
      <c r="A436" s="1" t="s">
        <v>400</v>
      </c>
      <c r="B436" t="e">
        <f>VLOOKUP(A436,'[1]Table S2'!$B$3:$B$509,1,FALSE)</f>
        <v>#N/A</v>
      </c>
      <c r="C436" t="e">
        <f>VLOOKUP(A436,'[1]Table S5'!$B$3:$B$641,1,FALSE)</f>
        <v>#N/A</v>
      </c>
      <c r="D436" t="e">
        <f>VLOOKUP(A436,[2]Sheet2!$A:$A,1,FALSE)</f>
        <v>#N/A</v>
      </c>
      <c r="E436" t="e">
        <f>VLOOKUP(A436,[3]cortex!$A:$A,1,FALSE)</f>
        <v>#N/A</v>
      </c>
      <c r="F436" t="e">
        <f>VLOOKUP(A436,[4]liver!$A:$A,1,FALSE)</f>
        <v>#N/A</v>
      </c>
      <c r="H436">
        <f t="shared" si="6"/>
        <v>0</v>
      </c>
    </row>
    <row r="437" spans="1:8" x14ac:dyDescent="0.2">
      <c r="A437" s="1" t="s">
        <v>401</v>
      </c>
      <c r="B437" t="e">
        <f>VLOOKUP(A437,'[1]Table S2'!$B$3:$B$509,1,FALSE)</f>
        <v>#N/A</v>
      </c>
      <c r="C437" t="e">
        <f>VLOOKUP(A437,'[1]Table S5'!$B$3:$B$641,1,FALSE)</f>
        <v>#N/A</v>
      </c>
      <c r="D437" t="e">
        <f>VLOOKUP(A437,[2]Sheet2!$A:$A,1,FALSE)</f>
        <v>#N/A</v>
      </c>
      <c r="E437" t="e">
        <f>VLOOKUP(A437,[3]cortex!$A:$A,1,FALSE)</f>
        <v>#N/A</v>
      </c>
      <c r="F437" t="e">
        <f>VLOOKUP(A437,[4]liver!$A:$A,1,FALSE)</f>
        <v>#N/A</v>
      </c>
      <c r="H437">
        <f t="shared" si="6"/>
        <v>0</v>
      </c>
    </row>
    <row r="438" spans="1:8" x14ac:dyDescent="0.2">
      <c r="A438" s="1" t="s">
        <v>402</v>
      </c>
      <c r="B438" t="e">
        <f>VLOOKUP(A438,'[1]Table S2'!$B$3:$B$509,1,FALSE)</f>
        <v>#N/A</v>
      </c>
      <c r="C438" t="e">
        <f>VLOOKUP(A438,'[1]Table S5'!$B$3:$B$641,1,FALSE)</f>
        <v>#N/A</v>
      </c>
      <c r="D438" t="e">
        <f>VLOOKUP(A438,[2]Sheet2!$A:$A,1,FALSE)</f>
        <v>#N/A</v>
      </c>
      <c r="E438" t="e">
        <f>VLOOKUP(A438,[3]cortex!$A:$A,1,FALSE)</f>
        <v>#N/A</v>
      </c>
      <c r="F438" t="e">
        <f>VLOOKUP(A438,[4]liver!$A:$A,1,FALSE)</f>
        <v>#N/A</v>
      </c>
      <c r="H438">
        <f t="shared" si="6"/>
        <v>0</v>
      </c>
    </row>
    <row r="439" spans="1:8" x14ac:dyDescent="0.2">
      <c r="A439" s="1" t="s">
        <v>403</v>
      </c>
      <c r="B439" t="e">
        <f>VLOOKUP(A439,'[1]Table S2'!$B$3:$B$509,1,FALSE)</f>
        <v>#N/A</v>
      </c>
      <c r="C439" t="e">
        <f>VLOOKUP(A439,'[1]Table S5'!$B$3:$B$641,1,FALSE)</f>
        <v>#N/A</v>
      </c>
      <c r="D439" t="e">
        <f>VLOOKUP(A439,[2]Sheet2!$A:$A,1,FALSE)</f>
        <v>#N/A</v>
      </c>
      <c r="E439" t="e">
        <f>VLOOKUP(A439,[3]cortex!$A:$A,1,FALSE)</f>
        <v>#N/A</v>
      </c>
      <c r="F439" t="e">
        <f>VLOOKUP(A439,[4]liver!$A:$A,1,FALSE)</f>
        <v>#N/A</v>
      </c>
      <c r="H439">
        <f t="shared" si="6"/>
        <v>0</v>
      </c>
    </row>
    <row r="440" spans="1:8" x14ac:dyDescent="0.2">
      <c r="A440" s="1" t="s">
        <v>404</v>
      </c>
      <c r="B440" t="e">
        <f>VLOOKUP(A440,'[1]Table S2'!$B$3:$B$509,1,FALSE)</f>
        <v>#N/A</v>
      </c>
      <c r="C440" t="e">
        <f>VLOOKUP(A440,'[1]Table S5'!$B$3:$B$641,1,FALSE)</f>
        <v>#N/A</v>
      </c>
      <c r="D440" t="e">
        <f>VLOOKUP(A440,[2]Sheet2!$A:$A,1,FALSE)</f>
        <v>#N/A</v>
      </c>
      <c r="E440" t="e">
        <f>VLOOKUP(A440,[3]cortex!$A:$A,1,FALSE)</f>
        <v>#N/A</v>
      </c>
      <c r="F440" t="e">
        <f>VLOOKUP(A440,[4]liver!$A:$A,1,FALSE)</f>
        <v>#N/A</v>
      </c>
      <c r="H440">
        <f t="shared" si="6"/>
        <v>0</v>
      </c>
    </row>
    <row r="441" spans="1:8" x14ac:dyDescent="0.2">
      <c r="A441" s="1" t="s">
        <v>405</v>
      </c>
      <c r="B441" t="e">
        <f>VLOOKUP(A441,'[1]Table S2'!$B$3:$B$509,1,FALSE)</f>
        <v>#N/A</v>
      </c>
      <c r="C441" t="e">
        <f>VLOOKUP(A441,'[1]Table S5'!$B$3:$B$641,1,FALSE)</f>
        <v>#N/A</v>
      </c>
      <c r="D441" t="e">
        <f>VLOOKUP(A441,[2]Sheet2!$A:$A,1,FALSE)</f>
        <v>#N/A</v>
      </c>
      <c r="E441" t="e">
        <f>VLOOKUP(A441,[3]cortex!$A:$A,1,FALSE)</f>
        <v>#N/A</v>
      </c>
      <c r="F441" t="e">
        <f>VLOOKUP(A441,[4]liver!$A:$A,1,FALSE)</f>
        <v>#N/A</v>
      </c>
      <c r="H441">
        <f t="shared" si="6"/>
        <v>0</v>
      </c>
    </row>
    <row r="442" spans="1:8" x14ac:dyDescent="0.2">
      <c r="A442" s="1" t="s">
        <v>406</v>
      </c>
      <c r="B442" t="e">
        <f>VLOOKUP(A442,'[1]Table S2'!$B$3:$B$509,1,FALSE)</f>
        <v>#N/A</v>
      </c>
      <c r="C442" t="e">
        <f>VLOOKUP(A442,'[1]Table S5'!$B$3:$B$641,1,FALSE)</f>
        <v>#N/A</v>
      </c>
      <c r="D442" t="e">
        <f>VLOOKUP(A442,[2]Sheet2!$A:$A,1,FALSE)</f>
        <v>#N/A</v>
      </c>
      <c r="E442" t="e">
        <f>VLOOKUP(A442,[3]cortex!$A:$A,1,FALSE)</f>
        <v>#N/A</v>
      </c>
      <c r="F442" t="e">
        <f>VLOOKUP(A442,[4]liver!$A:$A,1,FALSE)</f>
        <v>#N/A</v>
      </c>
      <c r="H442">
        <f t="shared" si="6"/>
        <v>0</v>
      </c>
    </row>
    <row r="443" spans="1:8" x14ac:dyDescent="0.2">
      <c r="A443" s="1" t="s">
        <v>407</v>
      </c>
      <c r="B443" t="e">
        <f>VLOOKUP(A443,'[1]Table S2'!$B$3:$B$509,1,FALSE)</f>
        <v>#N/A</v>
      </c>
      <c r="C443" t="e">
        <f>VLOOKUP(A443,'[1]Table S5'!$B$3:$B$641,1,FALSE)</f>
        <v>#N/A</v>
      </c>
      <c r="D443" t="e">
        <f>VLOOKUP(A443,[2]Sheet2!$A:$A,1,FALSE)</f>
        <v>#N/A</v>
      </c>
      <c r="E443" t="e">
        <f>VLOOKUP(A443,[3]cortex!$A:$A,1,FALSE)</f>
        <v>#N/A</v>
      </c>
      <c r="F443" t="e">
        <f>VLOOKUP(A443,[4]liver!$A:$A,1,FALSE)</f>
        <v>#N/A</v>
      </c>
      <c r="H443">
        <f t="shared" si="6"/>
        <v>0</v>
      </c>
    </row>
    <row r="444" spans="1:8" x14ac:dyDescent="0.2">
      <c r="A444" s="1" t="s">
        <v>408</v>
      </c>
      <c r="B444" t="e">
        <f>VLOOKUP(A444,'[1]Table S2'!$B$3:$B$509,1,FALSE)</f>
        <v>#N/A</v>
      </c>
      <c r="C444" t="e">
        <f>VLOOKUP(A444,'[1]Table S5'!$B$3:$B$641,1,FALSE)</f>
        <v>#N/A</v>
      </c>
      <c r="D444" t="e">
        <f>VLOOKUP(A444,[2]Sheet2!$A:$A,1,FALSE)</f>
        <v>#N/A</v>
      </c>
      <c r="E444" t="e">
        <f>VLOOKUP(A444,[3]cortex!$A:$A,1,FALSE)</f>
        <v>#N/A</v>
      </c>
      <c r="F444" t="e">
        <f>VLOOKUP(A444,[4]liver!$A:$A,1,FALSE)</f>
        <v>#N/A</v>
      </c>
      <c r="H444">
        <f t="shared" si="6"/>
        <v>0</v>
      </c>
    </row>
    <row r="445" spans="1:8" x14ac:dyDescent="0.2">
      <c r="A445" s="1" t="s">
        <v>409</v>
      </c>
      <c r="B445" t="e">
        <f>VLOOKUP(A445,'[1]Table S2'!$B$3:$B$509,1,FALSE)</f>
        <v>#N/A</v>
      </c>
      <c r="C445" t="e">
        <f>VLOOKUP(A445,'[1]Table S5'!$B$3:$B$641,1,FALSE)</f>
        <v>#N/A</v>
      </c>
      <c r="D445" t="e">
        <f>VLOOKUP(A445,[2]Sheet2!$A:$A,1,FALSE)</f>
        <v>#N/A</v>
      </c>
      <c r="E445" t="e">
        <f>VLOOKUP(A445,[3]cortex!$A:$A,1,FALSE)</f>
        <v>#N/A</v>
      </c>
      <c r="F445" t="e">
        <f>VLOOKUP(A445,[4]liver!$A:$A,1,FALSE)</f>
        <v>#N/A</v>
      </c>
      <c r="H445">
        <f t="shared" si="6"/>
        <v>0</v>
      </c>
    </row>
    <row r="446" spans="1:8" x14ac:dyDescent="0.2">
      <c r="A446" s="1" t="s">
        <v>410</v>
      </c>
      <c r="B446" t="e">
        <f>VLOOKUP(A446,'[1]Table S2'!$B$3:$B$509,1,FALSE)</f>
        <v>#N/A</v>
      </c>
      <c r="C446" t="e">
        <f>VLOOKUP(A446,'[1]Table S5'!$B$3:$B$641,1,FALSE)</f>
        <v>#N/A</v>
      </c>
      <c r="D446" t="e">
        <f>VLOOKUP(A446,[2]Sheet2!$A:$A,1,FALSE)</f>
        <v>#N/A</v>
      </c>
      <c r="E446" t="e">
        <f>VLOOKUP(A446,[3]cortex!$A:$A,1,FALSE)</f>
        <v>#N/A</v>
      </c>
      <c r="F446" t="e">
        <f>VLOOKUP(A446,[4]liver!$A:$A,1,FALSE)</f>
        <v>#N/A</v>
      </c>
      <c r="H446">
        <f t="shared" si="6"/>
        <v>0</v>
      </c>
    </row>
    <row r="447" spans="1:8" x14ac:dyDescent="0.2">
      <c r="A447" s="1" t="s">
        <v>411</v>
      </c>
      <c r="B447" t="e">
        <f>VLOOKUP(A447,'[1]Table S2'!$B$3:$B$509,1,FALSE)</f>
        <v>#N/A</v>
      </c>
      <c r="C447" t="e">
        <f>VLOOKUP(A447,'[1]Table S5'!$B$3:$B$641,1,FALSE)</f>
        <v>#N/A</v>
      </c>
      <c r="D447" t="e">
        <f>VLOOKUP(A447,[2]Sheet2!$A:$A,1,FALSE)</f>
        <v>#N/A</v>
      </c>
      <c r="E447" t="e">
        <f>VLOOKUP(A447,[3]cortex!$A:$A,1,FALSE)</f>
        <v>#N/A</v>
      </c>
      <c r="F447" t="e">
        <f>VLOOKUP(A447,[4]liver!$A:$A,1,FALSE)</f>
        <v>#N/A</v>
      </c>
      <c r="H447">
        <f t="shared" si="6"/>
        <v>0</v>
      </c>
    </row>
    <row r="448" spans="1:8" x14ac:dyDescent="0.2">
      <c r="A448" s="1" t="s">
        <v>412</v>
      </c>
      <c r="B448" t="e">
        <f>VLOOKUP(A448,'[1]Table S2'!$B$3:$B$509,1,FALSE)</f>
        <v>#N/A</v>
      </c>
      <c r="C448" t="e">
        <f>VLOOKUP(A448,'[1]Table S5'!$B$3:$B$641,1,FALSE)</f>
        <v>#N/A</v>
      </c>
      <c r="D448" t="e">
        <f>VLOOKUP(A448,[2]Sheet2!$A:$A,1,FALSE)</f>
        <v>#N/A</v>
      </c>
      <c r="E448" t="e">
        <f>VLOOKUP(A448,[3]cortex!$A:$A,1,FALSE)</f>
        <v>#N/A</v>
      </c>
      <c r="F448" t="e">
        <f>VLOOKUP(A448,[4]liver!$A:$A,1,FALSE)</f>
        <v>#N/A</v>
      </c>
      <c r="H448">
        <f t="shared" si="6"/>
        <v>0</v>
      </c>
    </row>
    <row r="449" spans="1:8" x14ac:dyDescent="0.2">
      <c r="A449" s="1" t="s">
        <v>413</v>
      </c>
      <c r="B449" t="e">
        <f>VLOOKUP(A449,'[1]Table S2'!$B$3:$B$509,1,FALSE)</f>
        <v>#N/A</v>
      </c>
      <c r="C449" t="e">
        <f>VLOOKUP(A449,'[1]Table S5'!$B$3:$B$641,1,FALSE)</f>
        <v>#N/A</v>
      </c>
      <c r="D449" t="e">
        <f>VLOOKUP(A449,[2]Sheet2!$A:$A,1,FALSE)</f>
        <v>#N/A</v>
      </c>
      <c r="E449" t="e">
        <f>VLOOKUP(A449,[3]cortex!$A:$A,1,FALSE)</f>
        <v>#N/A</v>
      </c>
      <c r="F449" t="e">
        <f>VLOOKUP(A449,[4]liver!$A:$A,1,FALSE)</f>
        <v>#N/A</v>
      </c>
      <c r="H449">
        <f t="shared" si="6"/>
        <v>0</v>
      </c>
    </row>
    <row r="450" spans="1:8" x14ac:dyDescent="0.2">
      <c r="A450" s="1" t="s">
        <v>414</v>
      </c>
      <c r="B450" t="e">
        <f>VLOOKUP(A450,'[1]Table S2'!$B$3:$B$509,1,FALSE)</f>
        <v>#N/A</v>
      </c>
      <c r="C450" t="e">
        <f>VLOOKUP(A450,'[1]Table S5'!$B$3:$B$641,1,FALSE)</f>
        <v>#N/A</v>
      </c>
      <c r="D450" t="e">
        <f>VLOOKUP(A450,[2]Sheet2!$A:$A,1,FALSE)</f>
        <v>#N/A</v>
      </c>
      <c r="E450" t="e">
        <f>VLOOKUP(A450,[3]cortex!$A:$A,1,FALSE)</f>
        <v>#N/A</v>
      </c>
      <c r="F450" t="e">
        <f>VLOOKUP(A450,[4]liver!$A:$A,1,FALSE)</f>
        <v>#N/A</v>
      </c>
      <c r="H450">
        <f t="shared" ref="H450:H513" si="7">COUNTIF(B450:G450,A450)</f>
        <v>0</v>
      </c>
    </row>
    <row r="451" spans="1:8" x14ac:dyDescent="0.2">
      <c r="A451" s="1" t="s">
        <v>415</v>
      </c>
      <c r="B451" t="e">
        <f>VLOOKUP(A451,'[1]Table S2'!$B$3:$B$509,1,FALSE)</f>
        <v>#N/A</v>
      </c>
      <c r="C451" t="e">
        <f>VLOOKUP(A451,'[1]Table S5'!$B$3:$B$641,1,FALSE)</f>
        <v>#N/A</v>
      </c>
      <c r="D451" t="e">
        <f>VLOOKUP(A451,[2]Sheet2!$A:$A,1,FALSE)</f>
        <v>#N/A</v>
      </c>
      <c r="E451" t="e">
        <f>VLOOKUP(A451,[3]cortex!$A:$A,1,FALSE)</f>
        <v>#N/A</v>
      </c>
      <c r="F451" t="e">
        <f>VLOOKUP(A451,[4]liver!$A:$A,1,FALSE)</f>
        <v>#N/A</v>
      </c>
      <c r="H451">
        <f t="shared" si="7"/>
        <v>0</v>
      </c>
    </row>
    <row r="452" spans="1:8" x14ac:dyDescent="0.2">
      <c r="A452" s="1" t="s">
        <v>416</v>
      </c>
      <c r="B452" t="e">
        <f>VLOOKUP(A452,'[1]Table S2'!$B$3:$B$509,1,FALSE)</f>
        <v>#N/A</v>
      </c>
      <c r="C452" t="e">
        <f>VLOOKUP(A452,'[1]Table S5'!$B$3:$B$641,1,FALSE)</f>
        <v>#N/A</v>
      </c>
      <c r="D452" t="e">
        <f>VLOOKUP(A452,[2]Sheet2!$A:$A,1,FALSE)</f>
        <v>#N/A</v>
      </c>
      <c r="E452" t="e">
        <f>VLOOKUP(A452,[3]cortex!$A:$A,1,FALSE)</f>
        <v>#N/A</v>
      </c>
      <c r="F452" t="e">
        <f>VLOOKUP(A452,[4]liver!$A:$A,1,FALSE)</f>
        <v>#N/A</v>
      </c>
      <c r="H452">
        <f t="shared" si="7"/>
        <v>0</v>
      </c>
    </row>
    <row r="453" spans="1:8" x14ac:dyDescent="0.2">
      <c r="A453" s="1" t="s">
        <v>417</v>
      </c>
      <c r="B453" t="e">
        <f>VLOOKUP(A453,'[1]Table S2'!$B$3:$B$509,1,FALSE)</f>
        <v>#N/A</v>
      </c>
      <c r="C453" t="e">
        <f>VLOOKUP(A453,'[1]Table S5'!$B$3:$B$641,1,FALSE)</f>
        <v>#N/A</v>
      </c>
      <c r="D453" t="e">
        <f>VLOOKUP(A453,[2]Sheet2!$A:$A,1,FALSE)</f>
        <v>#N/A</v>
      </c>
      <c r="E453" t="e">
        <f>VLOOKUP(A453,[3]cortex!$A:$A,1,FALSE)</f>
        <v>#N/A</v>
      </c>
      <c r="F453" t="e">
        <f>VLOOKUP(A453,[4]liver!$A:$A,1,FALSE)</f>
        <v>#N/A</v>
      </c>
      <c r="H453">
        <f t="shared" si="7"/>
        <v>0</v>
      </c>
    </row>
    <row r="454" spans="1:8" x14ac:dyDescent="0.2">
      <c r="A454" s="1" t="s">
        <v>419</v>
      </c>
      <c r="B454" t="e">
        <f>VLOOKUP(A454,'[1]Table S2'!$B$3:$B$509,1,FALSE)</f>
        <v>#N/A</v>
      </c>
      <c r="C454" t="e">
        <f>VLOOKUP(A454,'[1]Table S5'!$B$3:$B$641,1,FALSE)</f>
        <v>#N/A</v>
      </c>
      <c r="D454" t="e">
        <f>VLOOKUP(A454,[2]Sheet2!$A:$A,1,FALSE)</f>
        <v>#N/A</v>
      </c>
      <c r="E454" t="e">
        <f>VLOOKUP(A454,[3]cortex!$A:$A,1,FALSE)</f>
        <v>#N/A</v>
      </c>
      <c r="F454" t="e">
        <f>VLOOKUP(A454,[4]liver!$A:$A,1,FALSE)</f>
        <v>#N/A</v>
      </c>
      <c r="H454">
        <f t="shared" si="7"/>
        <v>0</v>
      </c>
    </row>
    <row r="455" spans="1:8" x14ac:dyDescent="0.2">
      <c r="A455" s="1" t="s">
        <v>420</v>
      </c>
      <c r="B455" t="e">
        <f>VLOOKUP(A455,'[1]Table S2'!$B$3:$B$509,1,FALSE)</f>
        <v>#N/A</v>
      </c>
      <c r="C455" t="e">
        <f>VLOOKUP(A455,'[1]Table S5'!$B$3:$B$641,1,FALSE)</f>
        <v>#N/A</v>
      </c>
      <c r="D455" t="e">
        <f>VLOOKUP(A455,[2]Sheet2!$A:$A,1,FALSE)</f>
        <v>#N/A</v>
      </c>
      <c r="E455" t="e">
        <f>VLOOKUP(A455,[3]cortex!$A:$A,1,FALSE)</f>
        <v>#N/A</v>
      </c>
      <c r="F455" t="e">
        <f>VLOOKUP(A455,[4]liver!$A:$A,1,FALSE)</f>
        <v>#N/A</v>
      </c>
      <c r="H455">
        <f t="shared" si="7"/>
        <v>0</v>
      </c>
    </row>
    <row r="456" spans="1:8" x14ac:dyDescent="0.2">
      <c r="A456" s="1" t="s">
        <v>423</v>
      </c>
      <c r="B456" t="e">
        <f>VLOOKUP(A456,'[1]Table S2'!$B$3:$B$509,1,FALSE)</f>
        <v>#N/A</v>
      </c>
      <c r="C456" t="e">
        <f>VLOOKUP(A456,'[1]Table S5'!$B$3:$B$641,1,FALSE)</f>
        <v>#N/A</v>
      </c>
      <c r="D456" t="e">
        <f>VLOOKUP(A456,[2]Sheet2!$A:$A,1,FALSE)</f>
        <v>#N/A</v>
      </c>
      <c r="E456" t="e">
        <f>VLOOKUP(A456,[3]cortex!$A:$A,1,FALSE)</f>
        <v>#N/A</v>
      </c>
      <c r="F456" t="e">
        <f>VLOOKUP(A456,[4]liver!$A:$A,1,FALSE)</f>
        <v>#N/A</v>
      </c>
      <c r="H456">
        <f t="shared" si="7"/>
        <v>0</v>
      </c>
    </row>
    <row r="457" spans="1:8" x14ac:dyDescent="0.2">
      <c r="A457" s="1" t="s">
        <v>425</v>
      </c>
      <c r="B457" t="e">
        <f>VLOOKUP(A457,'[1]Table S2'!$B$3:$B$509,1,FALSE)</f>
        <v>#N/A</v>
      </c>
      <c r="C457" t="e">
        <f>VLOOKUP(A457,'[1]Table S5'!$B$3:$B$641,1,FALSE)</f>
        <v>#N/A</v>
      </c>
      <c r="D457" t="e">
        <f>VLOOKUP(A457,[2]Sheet2!$A:$A,1,FALSE)</f>
        <v>#N/A</v>
      </c>
      <c r="E457" t="e">
        <f>VLOOKUP(A457,[3]cortex!$A:$A,1,FALSE)</f>
        <v>#N/A</v>
      </c>
      <c r="F457" t="e">
        <f>VLOOKUP(A457,[4]liver!$A:$A,1,FALSE)</f>
        <v>#N/A</v>
      </c>
      <c r="H457">
        <f t="shared" si="7"/>
        <v>0</v>
      </c>
    </row>
    <row r="458" spans="1:8" x14ac:dyDescent="0.2">
      <c r="A458" s="1" t="s">
        <v>426</v>
      </c>
      <c r="B458" t="e">
        <f>VLOOKUP(A458,'[1]Table S2'!$B$3:$B$509,1,FALSE)</f>
        <v>#N/A</v>
      </c>
      <c r="C458" t="e">
        <f>VLOOKUP(A458,'[1]Table S5'!$B$3:$B$641,1,FALSE)</f>
        <v>#N/A</v>
      </c>
      <c r="D458" t="e">
        <f>VLOOKUP(A458,[2]Sheet2!$A:$A,1,FALSE)</f>
        <v>#N/A</v>
      </c>
      <c r="E458" t="e">
        <f>VLOOKUP(A458,[3]cortex!$A:$A,1,FALSE)</f>
        <v>#N/A</v>
      </c>
      <c r="F458" t="e">
        <f>VLOOKUP(A458,[4]liver!$A:$A,1,FALSE)</f>
        <v>#N/A</v>
      </c>
      <c r="H458">
        <f t="shared" si="7"/>
        <v>0</v>
      </c>
    </row>
    <row r="459" spans="1:8" x14ac:dyDescent="0.2">
      <c r="A459" s="1" t="s">
        <v>427</v>
      </c>
      <c r="B459" t="e">
        <f>VLOOKUP(A459,'[1]Table S2'!$B$3:$B$509,1,FALSE)</f>
        <v>#N/A</v>
      </c>
      <c r="C459" t="e">
        <f>VLOOKUP(A459,'[1]Table S5'!$B$3:$B$641,1,FALSE)</f>
        <v>#N/A</v>
      </c>
      <c r="D459" t="e">
        <f>VLOOKUP(A459,[2]Sheet2!$A:$A,1,FALSE)</f>
        <v>#N/A</v>
      </c>
      <c r="E459" t="e">
        <f>VLOOKUP(A459,[3]cortex!$A:$A,1,FALSE)</f>
        <v>#N/A</v>
      </c>
      <c r="F459" t="e">
        <f>VLOOKUP(A459,[4]liver!$A:$A,1,FALSE)</f>
        <v>#N/A</v>
      </c>
      <c r="H459">
        <f t="shared" si="7"/>
        <v>0</v>
      </c>
    </row>
    <row r="460" spans="1:8" x14ac:dyDescent="0.2">
      <c r="A460" s="1" t="s">
        <v>428</v>
      </c>
      <c r="B460" t="e">
        <f>VLOOKUP(A460,'[1]Table S2'!$B$3:$B$509,1,FALSE)</f>
        <v>#N/A</v>
      </c>
      <c r="C460" t="e">
        <f>VLOOKUP(A460,'[1]Table S5'!$B$3:$B$641,1,FALSE)</f>
        <v>#N/A</v>
      </c>
      <c r="D460" t="e">
        <f>VLOOKUP(A460,[2]Sheet2!$A:$A,1,FALSE)</f>
        <v>#N/A</v>
      </c>
      <c r="E460" t="e">
        <f>VLOOKUP(A460,[3]cortex!$A:$A,1,FALSE)</f>
        <v>#N/A</v>
      </c>
      <c r="F460" t="e">
        <f>VLOOKUP(A460,[4]liver!$A:$A,1,FALSE)</f>
        <v>#N/A</v>
      </c>
      <c r="H460">
        <f t="shared" si="7"/>
        <v>0</v>
      </c>
    </row>
    <row r="461" spans="1:8" x14ac:dyDescent="0.2">
      <c r="A461" s="1" t="s">
        <v>429</v>
      </c>
      <c r="B461" t="e">
        <f>VLOOKUP(A461,'[1]Table S2'!$B$3:$B$509,1,FALSE)</f>
        <v>#N/A</v>
      </c>
      <c r="C461" t="e">
        <f>VLOOKUP(A461,'[1]Table S5'!$B$3:$B$641,1,FALSE)</f>
        <v>#N/A</v>
      </c>
      <c r="D461" t="e">
        <f>VLOOKUP(A461,[2]Sheet2!$A:$A,1,FALSE)</f>
        <v>#N/A</v>
      </c>
      <c r="E461" t="e">
        <f>VLOOKUP(A461,[3]cortex!$A:$A,1,FALSE)</f>
        <v>#N/A</v>
      </c>
      <c r="F461" t="e">
        <f>VLOOKUP(A461,[4]liver!$A:$A,1,FALSE)</f>
        <v>#N/A</v>
      </c>
      <c r="H461">
        <f t="shared" si="7"/>
        <v>0</v>
      </c>
    </row>
    <row r="462" spans="1:8" x14ac:dyDescent="0.2">
      <c r="A462" s="1" t="s">
        <v>430</v>
      </c>
      <c r="B462" t="e">
        <f>VLOOKUP(A462,'[1]Table S2'!$B$3:$B$509,1,FALSE)</f>
        <v>#N/A</v>
      </c>
      <c r="C462" t="e">
        <f>VLOOKUP(A462,'[1]Table S5'!$B$3:$B$641,1,FALSE)</f>
        <v>#N/A</v>
      </c>
      <c r="D462" t="e">
        <f>VLOOKUP(A462,[2]Sheet2!$A:$A,1,FALSE)</f>
        <v>#N/A</v>
      </c>
      <c r="E462" t="e">
        <f>VLOOKUP(A462,[3]cortex!$A:$A,1,FALSE)</f>
        <v>#N/A</v>
      </c>
      <c r="F462" t="e">
        <f>VLOOKUP(A462,[4]liver!$A:$A,1,FALSE)</f>
        <v>#N/A</v>
      </c>
      <c r="H462">
        <f t="shared" si="7"/>
        <v>0</v>
      </c>
    </row>
    <row r="463" spans="1:8" x14ac:dyDescent="0.2">
      <c r="A463" s="1" t="s">
        <v>431</v>
      </c>
      <c r="B463" t="e">
        <f>VLOOKUP(A463,'[1]Table S2'!$B$3:$B$509,1,FALSE)</f>
        <v>#N/A</v>
      </c>
      <c r="C463" t="e">
        <f>VLOOKUP(A463,'[1]Table S5'!$B$3:$B$641,1,FALSE)</f>
        <v>#N/A</v>
      </c>
      <c r="D463" t="e">
        <f>VLOOKUP(A463,[2]Sheet2!$A:$A,1,FALSE)</f>
        <v>#N/A</v>
      </c>
      <c r="E463" t="e">
        <f>VLOOKUP(A463,[3]cortex!$A:$A,1,FALSE)</f>
        <v>#N/A</v>
      </c>
      <c r="F463" t="e">
        <f>VLOOKUP(A463,[4]liver!$A:$A,1,FALSE)</f>
        <v>#N/A</v>
      </c>
      <c r="H463">
        <f t="shared" si="7"/>
        <v>0</v>
      </c>
    </row>
    <row r="464" spans="1:8" x14ac:dyDescent="0.2">
      <c r="A464" s="1" t="s">
        <v>433</v>
      </c>
      <c r="B464" t="e">
        <f>VLOOKUP(A464,'[1]Table S2'!$B$3:$B$509,1,FALSE)</f>
        <v>#N/A</v>
      </c>
      <c r="C464" t="e">
        <f>VLOOKUP(A464,'[1]Table S5'!$B$3:$B$641,1,FALSE)</f>
        <v>#N/A</v>
      </c>
      <c r="D464" t="e">
        <f>VLOOKUP(A464,[2]Sheet2!$A:$A,1,FALSE)</f>
        <v>#N/A</v>
      </c>
      <c r="E464" t="e">
        <f>VLOOKUP(A464,[3]cortex!$A:$A,1,FALSE)</f>
        <v>#N/A</v>
      </c>
      <c r="F464" t="e">
        <f>VLOOKUP(A464,[4]liver!$A:$A,1,FALSE)</f>
        <v>#N/A</v>
      </c>
      <c r="H464">
        <f t="shared" si="7"/>
        <v>0</v>
      </c>
    </row>
    <row r="465" spans="1:8" x14ac:dyDescent="0.2">
      <c r="A465" s="1" t="s">
        <v>434</v>
      </c>
      <c r="B465" t="e">
        <f>VLOOKUP(A465,'[1]Table S2'!$B$3:$B$509,1,FALSE)</f>
        <v>#N/A</v>
      </c>
      <c r="C465" t="e">
        <f>VLOOKUP(A465,'[1]Table S5'!$B$3:$B$641,1,FALSE)</f>
        <v>#N/A</v>
      </c>
      <c r="D465" t="e">
        <f>VLOOKUP(A465,[2]Sheet2!$A:$A,1,FALSE)</f>
        <v>#N/A</v>
      </c>
      <c r="E465" t="e">
        <f>VLOOKUP(A465,[3]cortex!$A:$A,1,FALSE)</f>
        <v>#N/A</v>
      </c>
      <c r="F465" t="e">
        <f>VLOOKUP(A465,[4]liver!$A:$A,1,FALSE)</f>
        <v>#N/A</v>
      </c>
      <c r="H465">
        <f t="shared" si="7"/>
        <v>0</v>
      </c>
    </row>
    <row r="466" spans="1:8" x14ac:dyDescent="0.2">
      <c r="A466" s="1" t="s">
        <v>435</v>
      </c>
      <c r="B466" t="e">
        <f>VLOOKUP(A466,'[1]Table S2'!$B$3:$B$509,1,FALSE)</f>
        <v>#N/A</v>
      </c>
      <c r="C466" t="e">
        <f>VLOOKUP(A466,'[1]Table S5'!$B$3:$B$641,1,FALSE)</f>
        <v>#N/A</v>
      </c>
      <c r="D466" t="e">
        <f>VLOOKUP(A466,[2]Sheet2!$A:$A,1,FALSE)</f>
        <v>#N/A</v>
      </c>
      <c r="E466" t="e">
        <f>VLOOKUP(A466,[3]cortex!$A:$A,1,FALSE)</f>
        <v>#N/A</v>
      </c>
      <c r="F466" t="e">
        <f>VLOOKUP(A466,[4]liver!$A:$A,1,FALSE)</f>
        <v>#N/A</v>
      </c>
      <c r="H466">
        <f t="shared" si="7"/>
        <v>0</v>
      </c>
    </row>
    <row r="467" spans="1:8" x14ac:dyDescent="0.2">
      <c r="A467" s="1" t="s">
        <v>436</v>
      </c>
      <c r="B467" t="e">
        <f>VLOOKUP(A467,'[1]Table S2'!$B$3:$B$509,1,FALSE)</f>
        <v>#N/A</v>
      </c>
      <c r="C467" t="e">
        <f>VLOOKUP(A467,'[1]Table S5'!$B$3:$B$641,1,FALSE)</f>
        <v>#N/A</v>
      </c>
      <c r="D467" t="e">
        <f>VLOOKUP(A467,[2]Sheet2!$A:$A,1,FALSE)</f>
        <v>#N/A</v>
      </c>
      <c r="E467" t="e">
        <f>VLOOKUP(A467,[3]cortex!$A:$A,1,FALSE)</f>
        <v>#N/A</v>
      </c>
      <c r="F467" t="e">
        <f>VLOOKUP(A467,[4]liver!$A:$A,1,FALSE)</f>
        <v>#N/A</v>
      </c>
      <c r="H467">
        <f t="shared" si="7"/>
        <v>0</v>
      </c>
    </row>
    <row r="468" spans="1:8" x14ac:dyDescent="0.2">
      <c r="A468" s="1" t="s">
        <v>437</v>
      </c>
      <c r="B468" t="e">
        <f>VLOOKUP(A468,'[1]Table S2'!$B$3:$B$509,1,FALSE)</f>
        <v>#N/A</v>
      </c>
      <c r="C468" t="e">
        <f>VLOOKUP(A468,'[1]Table S5'!$B$3:$B$641,1,FALSE)</f>
        <v>#N/A</v>
      </c>
      <c r="D468" t="e">
        <f>VLOOKUP(A468,[2]Sheet2!$A:$A,1,FALSE)</f>
        <v>#N/A</v>
      </c>
      <c r="E468" t="e">
        <f>VLOOKUP(A468,[3]cortex!$A:$A,1,FALSE)</f>
        <v>#N/A</v>
      </c>
      <c r="F468" t="e">
        <f>VLOOKUP(A468,[4]liver!$A:$A,1,FALSE)</f>
        <v>#N/A</v>
      </c>
      <c r="H468">
        <f t="shared" si="7"/>
        <v>0</v>
      </c>
    </row>
    <row r="469" spans="1:8" x14ac:dyDescent="0.2">
      <c r="A469" s="1" t="s">
        <v>438</v>
      </c>
      <c r="B469" t="e">
        <f>VLOOKUP(A469,'[1]Table S2'!$B$3:$B$509,1,FALSE)</f>
        <v>#N/A</v>
      </c>
      <c r="C469" t="e">
        <f>VLOOKUP(A469,'[1]Table S5'!$B$3:$B$641,1,FALSE)</f>
        <v>#N/A</v>
      </c>
      <c r="D469" t="e">
        <f>VLOOKUP(A469,[2]Sheet2!$A:$A,1,FALSE)</f>
        <v>#N/A</v>
      </c>
      <c r="E469" t="e">
        <f>VLOOKUP(A469,[3]cortex!$A:$A,1,FALSE)</f>
        <v>#N/A</v>
      </c>
      <c r="F469" t="e">
        <f>VLOOKUP(A469,[4]liver!$A:$A,1,FALSE)</f>
        <v>#N/A</v>
      </c>
      <c r="H469">
        <f t="shared" si="7"/>
        <v>0</v>
      </c>
    </row>
    <row r="470" spans="1:8" x14ac:dyDescent="0.2">
      <c r="A470" s="1" t="s">
        <v>439</v>
      </c>
      <c r="B470" t="e">
        <f>VLOOKUP(A470,'[1]Table S2'!$B$3:$B$509,1,FALSE)</f>
        <v>#N/A</v>
      </c>
      <c r="C470" t="e">
        <f>VLOOKUP(A470,'[1]Table S5'!$B$3:$B$641,1,FALSE)</f>
        <v>#N/A</v>
      </c>
      <c r="D470" t="e">
        <f>VLOOKUP(A470,[2]Sheet2!$A:$A,1,FALSE)</f>
        <v>#N/A</v>
      </c>
      <c r="E470" t="e">
        <f>VLOOKUP(A470,[3]cortex!$A:$A,1,FALSE)</f>
        <v>#N/A</v>
      </c>
      <c r="F470" t="e">
        <f>VLOOKUP(A470,[4]liver!$A:$A,1,FALSE)</f>
        <v>#N/A</v>
      </c>
      <c r="H470">
        <f t="shared" si="7"/>
        <v>0</v>
      </c>
    </row>
    <row r="471" spans="1:8" x14ac:dyDescent="0.2">
      <c r="A471" s="1" t="s">
        <v>440</v>
      </c>
      <c r="B471" t="e">
        <f>VLOOKUP(A471,'[1]Table S2'!$B$3:$B$509,1,FALSE)</f>
        <v>#N/A</v>
      </c>
      <c r="C471" t="e">
        <f>VLOOKUP(A471,'[1]Table S5'!$B$3:$B$641,1,FALSE)</f>
        <v>#N/A</v>
      </c>
      <c r="D471" t="e">
        <f>VLOOKUP(A471,[2]Sheet2!$A:$A,1,FALSE)</f>
        <v>#N/A</v>
      </c>
      <c r="E471" t="e">
        <f>VLOOKUP(A471,[3]cortex!$A:$A,1,FALSE)</f>
        <v>#N/A</v>
      </c>
      <c r="F471" t="e">
        <f>VLOOKUP(A471,[4]liver!$A:$A,1,FALSE)</f>
        <v>#N/A</v>
      </c>
      <c r="H471">
        <f t="shared" si="7"/>
        <v>0</v>
      </c>
    </row>
    <row r="472" spans="1:8" x14ac:dyDescent="0.2">
      <c r="A472" s="1" t="s">
        <v>442</v>
      </c>
      <c r="B472" t="e">
        <f>VLOOKUP(A472,'[1]Table S2'!$B$3:$B$509,1,FALSE)</f>
        <v>#N/A</v>
      </c>
      <c r="C472" t="e">
        <f>VLOOKUP(A472,'[1]Table S5'!$B$3:$B$641,1,FALSE)</f>
        <v>#N/A</v>
      </c>
      <c r="D472" t="e">
        <f>VLOOKUP(A472,[2]Sheet2!$A:$A,1,FALSE)</f>
        <v>#N/A</v>
      </c>
      <c r="E472" t="e">
        <f>VLOOKUP(A472,[3]cortex!$A:$A,1,FALSE)</f>
        <v>#N/A</v>
      </c>
      <c r="F472" t="e">
        <f>VLOOKUP(A472,[4]liver!$A:$A,1,FALSE)</f>
        <v>#N/A</v>
      </c>
      <c r="H472">
        <f t="shared" si="7"/>
        <v>0</v>
      </c>
    </row>
    <row r="473" spans="1:8" x14ac:dyDescent="0.2">
      <c r="A473" s="1" t="s">
        <v>443</v>
      </c>
      <c r="B473" t="e">
        <f>VLOOKUP(A473,'[1]Table S2'!$B$3:$B$509,1,FALSE)</f>
        <v>#N/A</v>
      </c>
      <c r="C473" t="e">
        <f>VLOOKUP(A473,'[1]Table S5'!$B$3:$B$641,1,FALSE)</f>
        <v>#N/A</v>
      </c>
      <c r="D473" t="e">
        <f>VLOOKUP(A473,[2]Sheet2!$A:$A,1,FALSE)</f>
        <v>#N/A</v>
      </c>
      <c r="E473" t="e">
        <f>VLOOKUP(A473,[3]cortex!$A:$A,1,FALSE)</f>
        <v>#N/A</v>
      </c>
      <c r="F473" t="e">
        <f>VLOOKUP(A473,[4]liver!$A:$A,1,FALSE)</f>
        <v>#N/A</v>
      </c>
      <c r="H473">
        <f t="shared" si="7"/>
        <v>0</v>
      </c>
    </row>
    <row r="474" spans="1:8" x14ac:dyDescent="0.2">
      <c r="A474" s="1" t="s">
        <v>444</v>
      </c>
      <c r="B474" t="e">
        <f>VLOOKUP(A474,'[1]Table S2'!$B$3:$B$509,1,FALSE)</f>
        <v>#N/A</v>
      </c>
      <c r="C474" t="e">
        <f>VLOOKUP(A474,'[1]Table S5'!$B$3:$B$641,1,FALSE)</f>
        <v>#N/A</v>
      </c>
      <c r="D474" t="e">
        <f>VLOOKUP(A474,[2]Sheet2!$A:$A,1,FALSE)</f>
        <v>#N/A</v>
      </c>
      <c r="E474" t="e">
        <f>VLOOKUP(A474,[3]cortex!$A:$A,1,FALSE)</f>
        <v>#N/A</v>
      </c>
      <c r="F474" t="e">
        <f>VLOOKUP(A474,[4]liver!$A:$A,1,FALSE)</f>
        <v>#N/A</v>
      </c>
      <c r="H474">
        <f t="shared" si="7"/>
        <v>0</v>
      </c>
    </row>
    <row r="475" spans="1:8" x14ac:dyDescent="0.2">
      <c r="A475" s="1" t="s">
        <v>445</v>
      </c>
      <c r="B475" t="e">
        <f>VLOOKUP(A475,'[1]Table S2'!$B$3:$B$509,1,FALSE)</f>
        <v>#N/A</v>
      </c>
      <c r="C475" t="e">
        <f>VLOOKUP(A475,'[1]Table S5'!$B$3:$B$641,1,FALSE)</f>
        <v>#N/A</v>
      </c>
      <c r="D475" t="e">
        <f>VLOOKUP(A475,[2]Sheet2!$A:$A,1,FALSE)</f>
        <v>#N/A</v>
      </c>
      <c r="E475" t="e">
        <f>VLOOKUP(A475,[3]cortex!$A:$A,1,FALSE)</f>
        <v>#N/A</v>
      </c>
      <c r="F475" t="e">
        <f>VLOOKUP(A475,[4]liver!$A:$A,1,FALSE)</f>
        <v>#N/A</v>
      </c>
      <c r="H475">
        <f t="shared" si="7"/>
        <v>0</v>
      </c>
    </row>
    <row r="476" spans="1:8" x14ac:dyDescent="0.2">
      <c r="A476" s="1" t="s">
        <v>446</v>
      </c>
      <c r="B476" t="e">
        <f>VLOOKUP(A476,'[1]Table S2'!$B$3:$B$509,1,FALSE)</f>
        <v>#N/A</v>
      </c>
      <c r="C476" t="e">
        <f>VLOOKUP(A476,'[1]Table S5'!$B$3:$B$641,1,FALSE)</f>
        <v>#N/A</v>
      </c>
      <c r="D476" t="e">
        <f>VLOOKUP(A476,[2]Sheet2!$A:$A,1,FALSE)</f>
        <v>#N/A</v>
      </c>
      <c r="E476" t="e">
        <f>VLOOKUP(A476,[3]cortex!$A:$A,1,FALSE)</f>
        <v>#N/A</v>
      </c>
      <c r="F476" t="e">
        <f>VLOOKUP(A476,[4]liver!$A:$A,1,FALSE)</f>
        <v>#N/A</v>
      </c>
      <c r="H476">
        <f t="shared" si="7"/>
        <v>0</v>
      </c>
    </row>
    <row r="477" spans="1:8" x14ac:dyDescent="0.2">
      <c r="A477" s="1" t="s">
        <v>447</v>
      </c>
      <c r="B477" t="e">
        <f>VLOOKUP(A477,'[1]Table S2'!$B$3:$B$509,1,FALSE)</f>
        <v>#N/A</v>
      </c>
      <c r="C477" t="e">
        <f>VLOOKUP(A477,'[1]Table S5'!$B$3:$B$641,1,FALSE)</f>
        <v>#N/A</v>
      </c>
      <c r="D477" t="e">
        <f>VLOOKUP(A477,[2]Sheet2!$A:$A,1,FALSE)</f>
        <v>#N/A</v>
      </c>
      <c r="E477" t="e">
        <f>VLOOKUP(A477,[3]cortex!$A:$A,1,FALSE)</f>
        <v>#N/A</v>
      </c>
      <c r="F477" t="e">
        <f>VLOOKUP(A477,[4]liver!$A:$A,1,FALSE)</f>
        <v>#N/A</v>
      </c>
      <c r="H477">
        <f t="shared" si="7"/>
        <v>0</v>
      </c>
    </row>
    <row r="478" spans="1:8" x14ac:dyDescent="0.2">
      <c r="A478" s="1" t="s">
        <v>448</v>
      </c>
      <c r="B478" t="e">
        <f>VLOOKUP(A478,'[1]Table S2'!$B$3:$B$509,1,FALSE)</f>
        <v>#N/A</v>
      </c>
      <c r="C478" t="e">
        <f>VLOOKUP(A478,'[1]Table S5'!$B$3:$B$641,1,FALSE)</f>
        <v>#N/A</v>
      </c>
      <c r="D478" t="e">
        <f>VLOOKUP(A478,[2]Sheet2!$A:$A,1,FALSE)</f>
        <v>#N/A</v>
      </c>
      <c r="E478" t="e">
        <f>VLOOKUP(A478,[3]cortex!$A:$A,1,FALSE)</f>
        <v>#N/A</v>
      </c>
      <c r="F478" t="e">
        <f>VLOOKUP(A478,[4]liver!$A:$A,1,FALSE)</f>
        <v>#N/A</v>
      </c>
      <c r="H478">
        <f t="shared" si="7"/>
        <v>0</v>
      </c>
    </row>
    <row r="479" spans="1:8" x14ac:dyDescent="0.2">
      <c r="A479" s="1" t="s">
        <v>449</v>
      </c>
      <c r="B479" t="e">
        <f>VLOOKUP(A479,'[1]Table S2'!$B$3:$B$509,1,FALSE)</f>
        <v>#N/A</v>
      </c>
      <c r="C479" t="e">
        <f>VLOOKUP(A479,'[1]Table S5'!$B$3:$B$641,1,FALSE)</f>
        <v>#N/A</v>
      </c>
      <c r="D479" t="e">
        <f>VLOOKUP(A479,[2]Sheet2!$A:$A,1,FALSE)</f>
        <v>#N/A</v>
      </c>
      <c r="E479" t="e">
        <f>VLOOKUP(A479,[3]cortex!$A:$A,1,FALSE)</f>
        <v>#N/A</v>
      </c>
      <c r="F479" t="e">
        <f>VLOOKUP(A479,[4]liver!$A:$A,1,FALSE)</f>
        <v>#N/A</v>
      </c>
      <c r="H479">
        <f t="shared" si="7"/>
        <v>0</v>
      </c>
    </row>
    <row r="480" spans="1:8" x14ac:dyDescent="0.2">
      <c r="A480" s="1" t="s">
        <v>450</v>
      </c>
      <c r="B480" t="e">
        <f>VLOOKUP(A480,'[1]Table S2'!$B$3:$B$509,1,FALSE)</f>
        <v>#N/A</v>
      </c>
      <c r="C480" t="e">
        <f>VLOOKUP(A480,'[1]Table S5'!$B$3:$B$641,1,FALSE)</f>
        <v>#N/A</v>
      </c>
      <c r="D480" t="e">
        <f>VLOOKUP(A480,[2]Sheet2!$A:$A,1,FALSE)</f>
        <v>#N/A</v>
      </c>
      <c r="E480" t="e">
        <f>VLOOKUP(A480,[3]cortex!$A:$A,1,FALSE)</f>
        <v>#N/A</v>
      </c>
      <c r="F480" t="e">
        <f>VLOOKUP(A480,[4]liver!$A:$A,1,FALSE)</f>
        <v>#N/A</v>
      </c>
      <c r="H480">
        <f t="shared" si="7"/>
        <v>0</v>
      </c>
    </row>
    <row r="481" spans="1:8" x14ac:dyDescent="0.2">
      <c r="A481" s="1" t="s">
        <v>451</v>
      </c>
      <c r="B481" t="e">
        <f>VLOOKUP(A481,'[1]Table S2'!$B$3:$B$509,1,FALSE)</f>
        <v>#N/A</v>
      </c>
      <c r="C481" t="e">
        <f>VLOOKUP(A481,'[1]Table S5'!$B$3:$B$641,1,FALSE)</f>
        <v>#N/A</v>
      </c>
      <c r="D481" t="e">
        <f>VLOOKUP(A481,[2]Sheet2!$A:$A,1,FALSE)</f>
        <v>#N/A</v>
      </c>
      <c r="E481" t="e">
        <f>VLOOKUP(A481,[3]cortex!$A:$A,1,FALSE)</f>
        <v>#N/A</v>
      </c>
      <c r="F481" t="e">
        <f>VLOOKUP(A481,[4]liver!$A:$A,1,FALSE)</f>
        <v>#N/A</v>
      </c>
      <c r="H481">
        <f t="shared" si="7"/>
        <v>0</v>
      </c>
    </row>
    <row r="482" spans="1:8" x14ac:dyDescent="0.2">
      <c r="A482" s="1" t="s">
        <v>452</v>
      </c>
      <c r="B482" t="e">
        <f>VLOOKUP(A482,'[1]Table S2'!$B$3:$B$509,1,FALSE)</f>
        <v>#N/A</v>
      </c>
      <c r="C482" t="e">
        <f>VLOOKUP(A482,'[1]Table S5'!$B$3:$B$641,1,FALSE)</f>
        <v>#N/A</v>
      </c>
      <c r="D482" t="e">
        <f>VLOOKUP(A482,[2]Sheet2!$A:$A,1,FALSE)</f>
        <v>#N/A</v>
      </c>
      <c r="E482" t="e">
        <f>VLOOKUP(A482,[3]cortex!$A:$A,1,FALSE)</f>
        <v>#N/A</v>
      </c>
      <c r="F482" t="e">
        <f>VLOOKUP(A482,[4]liver!$A:$A,1,FALSE)</f>
        <v>#N/A</v>
      </c>
      <c r="H482">
        <f t="shared" si="7"/>
        <v>0</v>
      </c>
    </row>
    <row r="483" spans="1:8" x14ac:dyDescent="0.2">
      <c r="A483" s="1" t="s">
        <v>453</v>
      </c>
      <c r="B483" t="e">
        <f>VLOOKUP(A483,'[1]Table S2'!$B$3:$B$509,1,FALSE)</f>
        <v>#N/A</v>
      </c>
      <c r="C483" t="e">
        <f>VLOOKUP(A483,'[1]Table S5'!$B$3:$B$641,1,FALSE)</f>
        <v>#N/A</v>
      </c>
      <c r="D483" t="e">
        <f>VLOOKUP(A483,[2]Sheet2!$A:$A,1,FALSE)</f>
        <v>#N/A</v>
      </c>
      <c r="E483" t="e">
        <f>VLOOKUP(A483,[3]cortex!$A:$A,1,FALSE)</f>
        <v>#N/A</v>
      </c>
      <c r="F483" t="e">
        <f>VLOOKUP(A483,[4]liver!$A:$A,1,FALSE)</f>
        <v>#N/A</v>
      </c>
      <c r="H483">
        <f t="shared" si="7"/>
        <v>0</v>
      </c>
    </row>
    <row r="484" spans="1:8" x14ac:dyDescent="0.2">
      <c r="A484" s="1" t="s">
        <v>454</v>
      </c>
      <c r="B484" t="e">
        <f>VLOOKUP(A484,'[1]Table S2'!$B$3:$B$509,1,FALSE)</f>
        <v>#N/A</v>
      </c>
      <c r="C484" t="e">
        <f>VLOOKUP(A484,'[1]Table S5'!$B$3:$B$641,1,FALSE)</f>
        <v>#N/A</v>
      </c>
      <c r="D484" t="e">
        <f>VLOOKUP(A484,[2]Sheet2!$A:$A,1,FALSE)</f>
        <v>#N/A</v>
      </c>
      <c r="E484" t="e">
        <f>VLOOKUP(A484,[3]cortex!$A:$A,1,FALSE)</f>
        <v>#N/A</v>
      </c>
      <c r="F484" t="e">
        <f>VLOOKUP(A484,[4]liver!$A:$A,1,FALSE)</f>
        <v>#N/A</v>
      </c>
      <c r="H484">
        <f t="shared" si="7"/>
        <v>0</v>
      </c>
    </row>
    <row r="485" spans="1:8" x14ac:dyDescent="0.2">
      <c r="A485" s="1" t="s">
        <v>455</v>
      </c>
      <c r="B485" t="e">
        <f>VLOOKUP(A485,'[1]Table S2'!$B$3:$B$509,1,FALSE)</f>
        <v>#N/A</v>
      </c>
      <c r="C485" t="e">
        <f>VLOOKUP(A485,'[1]Table S5'!$B$3:$B$641,1,FALSE)</f>
        <v>#N/A</v>
      </c>
      <c r="D485" t="e">
        <f>VLOOKUP(A485,[2]Sheet2!$A:$A,1,FALSE)</f>
        <v>#N/A</v>
      </c>
      <c r="E485" t="e">
        <f>VLOOKUP(A485,[3]cortex!$A:$A,1,FALSE)</f>
        <v>#N/A</v>
      </c>
      <c r="F485" t="e">
        <f>VLOOKUP(A485,[4]liver!$A:$A,1,FALSE)</f>
        <v>#N/A</v>
      </c>
      <c r="H485">
        <f t="shared" si="7"/>
        <v>0</v>
      </c>
    </row>
    <row r="486" spans="1:8" x14ac:dyDescent="0.2">
      <c r="A486" s="1" t="s">
        <v>457</v>
      </c>
      <c r="B486" t="e">
        <f>VLOOKUP(A486,'[1]Table S2'!$B$3:$B$509,1,FALSE)</f>
        <v>#N/A</v>
      </c>
      <c r="C486" t="e">
        <f>VLOOKUP(A486,'[1]Table S5'!$B$3:$B$641,1,FALSE)</f>
        <v>#N/A</v>
      </c>
      <c r="D486" t="e">
        <f>VLOOKUP(A486,[2]Sheet2!$A:$A,1,FALSE)</f>
        <v>#N/A</v>
      </c>
      <c r="E486" t="e">
        <f>VLOOKUP(A486,[3]cortex!$A:$A,1,FALSE)</f>
        <v>#N/A</v>
      </c>
      <c r="F486" t="e">
        <f>VLOOKUP(A486,[4]liver!$A:$A,1,FALSE)</f>
        <v>#N/A</v>
      </c>
      <c r="H486">
        <f t="shared" si="7"/>
        <v>0</v>
      </c>
    </row>
    <row r="487" spans="1:8" x14ac:dyDescent="0.2">
      <c r="A487" s="1" t="s">
        <v>458</v>
      </c>
      <c r="B487" t="e">
        <f>VLOOKUP(A487,'[1]Table S2'!$B$3:$B$509,1,FALSE)</f>
        <v>#N/A</v>
      </c>
      <c r="C487" t="e">
        <f>VLOOKUP(A487,'[1]Table S5'!$B$3:$B$641,1,FALSE)</f>
        <v>#N/A</v>
      </c>
      <c r="D487" t="e">
        <f>VLOOKUP(A487,[2]Sheet2!$A:$A,1,FALSE)</f>
        <v>#N/A</v>
      </c>
      <c r="E487" t="e">
        <f>VLOOKUP(A487,[3]cortex!$A:$A,1,FALSE)</f>
        <v>#N/A</v>
      </c>
      <c r="F487" t="e">
        <f>VLOOKUP(A487,[4]liver!$A:$A,1,FALSE)</f>
        <v>#N/A</v>
      </c>
      <c r="H487">
        <f t="shared" si="7"/>
        <v>0</v>
      </c>
    </row>
    <row r="488" spans="1:8" x14ac:dyDescent="0.2">
      <c r="A488" s="1" t="s">
        <v>459</v>
      </c>
      <c r="B488" t="e">
        <f>VLOOKUP(A488,'[1]Table S2'!$B$3:$B$509,1,FALSE)</f>
        <v>#N/A</v>
      </c>
      <c r="C488" t="e">
        <f>VLOOKUP(A488,'[1]Table S5'!$B$3:$B$641,1,FALSE)</f>
        <v>#N/A</v>
      </c>
      <c r="D488" t="e">
        <f>VLOOKUP(A488,[2]Sheet2!$A:$A,1,FALSE)</f>
        <v>#N/A</v>
      </c>
      <c r="E488" t="e">
        <f>VLOOKUP(A488,[3]cortex!$A:$A,1,FALSE)</f>
        <v>#N/A</v>
      </c>
      <c r="F488" t="e">
        <f>VLOOKUP(A488,[4]liver!$A:$A,1,FALSE)</f>
        <v>#N/A</v>
      </c>
      <c r="H488">
        <f t="shared" si="7"/>
        <v>0</v>
      </c>
    </row>
    <row r="489" spans="1:8" x14ac:dyDescent="0.2">
      <c r="A489" s="1" t="s">
        <v>461</v>
      </c>
      <c r="B489" t="e">
        <f>VLOOKUP(A489,'[1]Table S2'!$B$3:$B$509,1,FALSE)</f>
        <v>#N/A</v>
      </c>
      <c r="C489" t="e">
        <f>VLOOKUP(A489,'[1]Table S5'!$B$3:$B$641,1,FALSE)</f>
        <v>#N/A</v>
      </c>
      <c r="D489" t="e">
        <f>VLOOKUP(A489,[2]Sheet2!$A:$A,1,FALSE)</f>
        <v>#N/A</v>
      </c>
      <c r="E489" t="e">
        <f>VLOOKUP(A489,[3]cortex!$A:$A,1,FALSE)</f>
        <v>#N/A</v>
      </c>
      <c r="F489" t="e">
        <f>VLOOKUP(A489,[4]liver!$A:$A,1,FALSE)</f>
        <v>#N/A</v>
      </c>
      <c r="H489">
        <f t="shared" si="7"/>
        <v>0</v>
      </c>
    </row>
    <row r="490" spans="1:8" x14ac:dyDescent="0.2">
      <c r="A490" s="1" t="s">
        <v>462</v>
      </c>
      <c r="B490" t="e">
        <f>VLOOKUP(A490,'[1]Table S2'!$B$3:$B$509,1,FALSE)</f>
        <v>#N/A</v>
      </c>
      <c r="C490" t="e">
        <f>VLOOKUP(A490,'[1]Table S5'!$B$3:$B$641,1,FALSE)</f>
        <v>#N/A</v>
      </c>
      <c r="D490" t="e">
        <f>VLOOKUP(A490,[2]Sheet2!$A:$A,1,FALSE)</f>
        <v>#N/A</v>
      </c>
      <c r="E490" t="e">
        <f>VLOOKUP(A490,[3]cortex!$A:$A,1,FALSE)</f>
        <v>#N/A</v>
      </c>
      <c r="F490" t="e">
        <f>VLOOKUP(A490,[4]liver!$A:$A,1,FALSE)</f>
        <v>#N/A</v>
      </c>
      <c r="H490">
        <f t="shared" si="7"/>
        <v>0</v>
      </c>
    </row>
    <row r="491" spans="1:8" x14ac:dyDescent="0.2">
      <c r="A491" s="1" t="s">
        <v>463</v>
      </c>
      <c r="B491" t="e">
        <f>VLOOKUP(A491,'[1]Table S2'!$B$3:$B$509,1,FALSE)</f>
        <v>#N/A</v>
      </c>
      <c r="C491" t="e">
        <f>VLOOKUP(A491,'[1]Table S5'!$B$3:$B$641,1,FALSE)</f>
        <v>#N/A</v>
      </c>
      <c r="D491" t="e">
        <f>VLOOKUP(A491,[2]Sheet2!$A:$A,1,FALSE)</f>
        <v>#N/A</v>
      </c>
      <c r="E491" t="e">
        <f>VLOOKUP(A491,[3]cortex!$A:$A,1,FALSE)</f>
        <v>#N/A</v>
      </c>
      <c r="F491" t="e">
        <f>VLOOKUP(A491,[4]liver!$A:$A,1,FALSE)</f>
        <v>#N/A</v>
      </c>
      <c r="H491">
        <f t="shared" si="7"/>
        <v>0</v>
      </c>
    </row>
    <row r="492" spans="1:8" x14ac:dyDescent="0.2">
      <c r="A492" s="1" t="s">
        <v>464</v>
      </c>
      <c r="B492" t="e">
        <f>VLOOKUP(A492,'[1]Table S2'!$B$3:$B$509,1,FALSE)</f>
        <v>#N/A</v>
      </c>
      <c r="C492" t="e">
        <f>VLOOKUP(A492,'[1]Table S5'!$B$3:$B$641,1,FALSE)</f>
        <v>#N/A</v>
      </c>
      <c r="D492" t="e">
        <f>VLOOKUP(A492,[2]Sheet2!$A:$A,1,FALSE)</f>
        <v>#N/A</v>
      </c>
      <c r="E492" t="e">
        <f>VLOOKUP(A492,[3]cortex!$A:$A,1,FALSE)</f>
        <v>#N/A</v>
      </c>
      <c r="F492" t="e">
        <f>VLOOKUP(A492,[4]liver!$A:$A,1,FALSE)</f>
        <v>#N/A</v>
      </c>
      <c r="H492">
        <f t="shared" si="7"/>
        <v>0</v>
      </c>
    </row>
    <row r="493" spans="1:8" x14ac:dyDescent="0.2">
      <c r="A493" s="1" t="s">
        <v>465</v>
      </c>
      <c r="B493" t="e">
        <f>VLOOKUP(A493,'[1]Table S2'!$B$3:$B$509,1,FALSE)</f>
        <v>#N/A</v>
      </c>
      <c r="C493" t="e">
        <f>VLOOKUP(A493,'[1]Table S5'!$B$3:$B$641,1,FALSE)</f>
        <v>#N/A</v>
      </c>
      <c r="D493" t="e">
        <f>VLOOKUP(A493,[2]Sheet2!$A:$A,1,FALSE)</f>
        <v>#N/A</v>
      </c>
      <c r="E493" t="e">
        <f>VLOOKUP(A493,[3]cortex!$A:$A,1,FALSE)</f>
        <v>#N/A</v>
      </c>
      <c r="F493" t="e">
        <f>VLOOKUP(A493,[4]liver!$A:$A,1,FALSE)</f>
        <v>#N/A</v>
      </c>
      <c r="H493">
        <f t="shared" si="7"/>
        <v>0</v>
      </c>
    </row>
    <row r="494" spans="1:8" x14ac:dyDescent="0.2">
      <c r="A494" s="1" t="s">
        <v>466</v>
      </c>
      <c r="B494" t="e">
        <f>VLOOKUP(A494,'[1]Table S2'!$B$3:$B$509,1,FALSE)</f>
        <v>#N/A</v>
      </c>
      <c r="C494" t="e">
        <f>VLOOKUP(A494,'[1]Table S5'!$B$3:$B$641,1,FALSE)</f>
        <v>#N/A</v>
      </c>
      <c r="D494" t="e">
        <f>VLOOKUP(A494,[2]Sheet2!$A:$A,1,FALSE)</f>
        <v>#N/A</v>
      </c>
      <c r="E494" t="e">
        <f>VLOOKUP(A494,[3]cortex!$A:$A,1,FALSE)</f>
        <v>#N/A</v>
      </c>
      <c r="F494" t="e">
        <f>VLOOKUP(A494,[4]liver!$A:$A,1,FALSE)</f>
        <v>#N/A</v>
      </c>
      <c r="H494">
        <f t="shared" si="7"/>
        <v>0</v>
      </c>
    </row>
    <row r="495" spans="1:8" x14ac:dyDescent="0.2">
      <c r="A495" s="1" t="s">
        <v>467</v>
      </c>
      <c r="B495" t="e">
        <f>VLOOKUP(A495,'[1]Table S2'!$B$3:$B$509,1,FALSE)</f>
        <v>#N/A</v>
      </c>
      <c r="C495" t="e">
        <f>VLOOKUP(A495,'[1]Table S5'!$B$3:$B$641,1,FALSE)</f>
        <v>#N/A</v>
      </c>
      <c r="D495" t="e">
        <f>VLOOKUP(A495,[2]Sheet2!$A:$A,1,FALSE)</f>
        <v>#N/A</v>
      </c>
      <c r="E495" t="e">
        <f>VLOOKUP(A495,[3]cortex!$A:$A,1,FALSE)</f>
        <v>#N/A</v>
      </c>
      <c r="F495" t="e">
        <f>VLOOKUP(A495,[4]liver!$A:$A,1,FALSE)</f>
        <v>#N/A</v>
      </c>
      <c r="H495">
        <f t="shared" si="7"/>
        <v>0</v>
      </c>
    </row>
    <row r="496" spans="1:8" x14ac:dyDescent="0.2">
      <c r="A496" s="1" t="s">
        <v>468</v>
      </c>
      <c r="B496" t="e">
        <f>VLOOKUP(A496,'[1]Table S2'!$B$3:$B$509,1,FALSE)</f>
        <v>#N/A</v>
      </c>
      <c r="C496" t="e">
        <f>VLOOKUP(A496,'[1]Table S5'!$B$3:$B$641,1,FALSE)</f>
        <v>#N/A</v>
      </c>
      <c r="D496" t="e">
        <f>VLOOKUP(A496,[2]Sheet2!$A:$A,1,FALSE)</f>
        <v>#N/A</v>
      </c>
      <c r="E496" t="e">
        <f>VLOOKUP(A496,[3]cortex!$A:$A,1,FALSE)</f>
        <v>#N/A</v>
      </c>
      <c r="F496" t="e">
        <f>VLOOKUP(A496,[4]liver!$A:$A,1,FALSE)</f>
        <v>#N/A</v>
      </c>
      <c r="H496">
        <f t="shared" si="7"/>
        <v>0</v>
      </c>
    </row>
    <row r="497" spans="1:8" x14ac:dyDescent="0.2">
      <c r="A497" s="1" t="s">
        <v>469</v>
      </c>
      <c r="B497" t="e">
        <f>VLOOKUP(A497,'[1]Table S2'!$B$3:$B$509,1,FALSE)</f>
        <v>#N/A</v>
      </c>
      <c r="C497" t="e">
        <f>VLOOKUP(A497,'[1]Table S5'!$B$3:$B$641,1,FALSE)</f>
        <v>#N/A</v>
      </c>
      <c r="D497" t="e">
        <f>VLOOKUP(A497,[2]Sheet2!$A:$A,1,FALSE)</f>
        <v>#N/A</v>
      </c>
      <c r="E497" t="e">
        <f>VLOOKUP(A497,[3]cortex!$A:$A,1,FALSE)</f>
        <v>#N/A</v>
      </c>
      <c r="F497" t="e">
        <f>VLOOKUP(A497,[4]liver!$A:$A,1,FALSE)</f>
        <v>#N/A</v>
      </c>
      <c r="H497">
        <f t="shared" si="7"/>
        <v>0</v>
      </c>
    </row>
    <row r="498" spans="1:8" x14ac:dyDescent="0.2">
      <c r="A498" s="1" t="s">
        <v>471</v>
      </c>
      <c r="B498" t="e">
        <f>VLOOKUP(A498,'[1]Table S2'!$B$3:$B$509,1,FALSE)</f>
        <v>#N/A</v>
      </c>
      <c r="C498" t="e">
        <f>VLOOKUP(A498,'[1]Table S5'!$B$3:$B$641,1,FALSE)</f>
        <v>#N/A</v>
      </c>
      <c r="D498" t="e">
        <f>VLOOKUP(A498,[2]Sheet2!$A:$A,1,FALSE)</f>
        <v>#N/A</v>
      </c>
      <c r="E498" t="e">
        <f>VLOOKUP(A498,[3]cortex!$A:$A,1,FALSE)</f>
        <v>#N/A</v>
      </c>
      <c r="F498" t="e">
        <f>VLOOKUP(A498,[4]liver!$A:$A,1,FALSE)</f>
        <v>#N/A</v>
      </c>
      <c r="H498">
        <f t="shared" si="7"/>
        <v>0</v>
      </c>
    </row>
    <row r="499" spans="1:8" x14ac:dyDescent="0.2">
      <c r="A499" s="1" t="s">
        <v>473</v>
      </c>
      <c r="B499" t="e">
        <f>VLOOKUP(A499,'[1]Table S2'!$B$3:$B$509,1,FALSE)</f>
        <v>#N/A</v>
      </c>
      <c r="C499" t="e">
        <f>VLOOKUP(A499,'[1]Table S5'!$B$3:$B$641,1,FALSE)</f>
        <v>#N/A</v>
      </c>
      <c r="D499" t="e">
        <f>VLOOKUP(A499,[2]Sheet2!$A:$A,1,FALSE)</f>
        <v>#N/A</v>
      </c>
      <c r="E499" t="e">
        <f>VLOOKUP(A499,[3]cortex!$A:$A,1,FALSE)</f>
        <v>#N/A</v>
      </c>
      <c r="F499" t="e">
        <f>VLOOKUP(A499,[4]liver!$A:$A,1,FALSE)</f>
        <v>#N/A</v>
      </c>
      <c r="H499">
        <f t="shared" si="7"/>
        <v>0</v>
      </c>
    </row>
    <row r="500" spans="1:8" x14ac:dyDescent="0.2">
      <c r="A500" s="1" t="s">
        <v>474</v>
      </c>
      <c r="B500" t="e">
        <f>VLOOKUP(A500,'[1]Table S2'!$B$3:$B$509,1,FALSE)</f>
        <v>#N/A</v>
      </c>
      <c r="C500" t="e">
        <f>VLOOKUP(A500,'[1]Table S5'!$B$3:$B$641,1,FALSE)</f>
        <v>#N/A</v>
      </c>
      <c r="D500" t="e">
        <f>VLOOKUP(A500,[2]Sheet2!$A:$A,1,FALSE)</f>
        <v>#N/A</v>
      </c>
      <c r="E500" t="e">
        <f>VLOOKUP(A500,[3]cortex!$A:$A,1,FALSE)</f>
        <v>#N/A</v>
      </c>
      <c r="F500" t="e">
        <f>VLOOKUP(A500,[4]liver!$A:$A,1,FALSE)</f>
        <v>#N/A</v>
      </c>
      <c r="H500">
        <f t="shared" si="7"/>
        <v>0</v>
      </c>
    </row>
    <row r="501" spans="1:8" x14ac:dyDescent="0.2">
      <c r="A501" s="1" t="s">
        <v>476</v>
      </c>
      <c r="B501" t="e">
        <f>VLOOKUP(A501,'[1]Table S2'!$B$3:$B$509,1,FALSE)</f>
        <v>#N/A</v>
      </c>
      <c r="C501" t="e">
        <f>VLOOKUP(A501,'[1]Table S5'!$B$3:$B$641,1,FALSE)</f>
        <v>#N/A</v>
      </c>
      <c r="D501" t="e">
        <f>VLOOKUP(A501,[2]Sheet2!$A:$A,1,FALSE)</f>
        <v>#N/A</v>
      </c>
      <c r="E501" t="e">
        <f>VLOOKUP(A501,[3]cortex!$A:$A,1,FALSE)</f>
        <v>#N/A</v>
      </c>
      <c r="F501" t="e">
        <f>VLOOKUP(A501,[4]liver!$A:$A,1,FALSE)</f>
        <v>#N/A</v>
      </c>
      <c r="H501">
        <f t="shared" si="7"/>
        <v>0</v>
      </c>
    </row>
    <row r="502" spans="1:8" x14ac:dyDescent="0.2">
      <c r="A502" s="1" t="s">
        <v>477</v>
      </c>
      <c r="B502" t="e">
        <f>VLOOKUP(A502,'[1]Table S2'!$B$3:$B$509,1,FALSE)</f>
        <v>#N/A</v>
      </c>
      <c r="C502" t="e">
        <f>VLOOKUP(A502,'[1]Table S5'!$B$3:$B$641,1,FALSE)</f>
        <v>#N/A</v>
      </c>
      <c r="D502" t="e">
        <f>VLOOKUP(A502,[2]Sheet2!$A:$A,1,FALSE)</f>
        <v>#N/A</v>
      </c>
      <c r="E502" t="e">
        <f>VLOOKUP(A502,[3]cortex!$A:$A,1,FALSE)</f>
        <v>#N/A</v>
      </c>
      <c r="F502" t="e">
        <f>VLOOKUP(A502,[4]liver!$A:$A,1,FALSE)</f>
        <v>#N/A</v>
      </c>
      <c r="H502">
        <f t="shared" si="7"/>
        <v>0</v>
      </c>
    </row>
    <row r="503" spans="1:8" x14ac:dyDescent="0.2">
      <c r="A503" s="1" t="s">
        <v>479</v>
      </c>
      <c r="B503" t="e">
        <f>VLOOKUP(A503,'[1]Table S2'!$B$3:$B$509,1,FALSE)</f>
        <v>#N/A</v>
      </c>
      <c r="C503" t="e">
        <f>VLOOKUP(A503,'[1]Table S5'!$B$3:$B$641,1,FALSE)</f>
        <v>#N/A</v>
      </c>
      <c r="D503" t="e">
        <f>VLOOKUP(A503,[2]Sheet2!$A:$A,1,FALSE)</f>
        <v>#N/A</v>
      </c>
      <c r="E503" t="e">
        <f>VLOOKUP(A503,[3]cortex!$A:$A,1,FALSE)</f>
        <v>#N/A</v>
      </c>
      <c r="F503" t="e">
        <f>VLOOKUP(A503,[4]liver!$A:$A,1,FALSE)</f>
        <v>#N/A</v>
      </c>
      <c r="H503">
        <f t="shared" si="7"/>
        <v>0</v>
      </c>
    </row>
    <row r="504" spans="1:8" x14ac:dyDescent="0.2">
      <c r="A504" s="1" t="s">
        <v>480</v>
      </c>
      <c r="B504" t="e">
        <f>VLOOKUP(A504,'[1]Table S2'!$B$3:$B$509,1,FALSE)</f>
        <v>#N/A</v>
      </c>
      <c r="C504" t="e">
        <f>VLOOKUP(A504,'[1]Table S5'!$B$3:$B$641,1,FALSE)</f>
        <v>#N/A</v>
      </c>
      <c r="D504" t="e">
        <f>VLOOKUP(A504,[2]Sheet2!$A:$A,1,FALSE)</f>
        <v>#N/A</v>
      </c>
      <c r="E504" t="e">
        <f>VLOOKUP(A504,[3]cortex!$A:$A,1,FALSE)</f>
        <v>#N/A</v>
      </c>
      <c r="F504" t="e">
        <f>VLOOKUP(A504,[4]liver!$A:$A,1,FALSE)</f>
        <v>#N/A</v>
      </c>
      <c r="H504">
        <f t="shared" si="7"/>
        <v>0</v>
      </c>
    </row>
    <row r="505" spans="1:8" x14ac:dyDescent="0.2">
      <c r="A505" s="1" t="s">
        <v>481</v>
      </c>
      <c r="B505" t="e">
        <f>VLOOKUP(A505,'[1]Table S2'!$B$3:$B$509,1,FALSE)</f>
        <v>#N/A</v>
      </c>
      <c r="C505" t="e">
        <f>VLOOKUP(A505,'[1]Table S5'!$B$3:$B$641,1,FALSE)</f>
        <v>#N/A</v>
      </c>
      <c r="D505" t="e">
        <f>VLOOKUP(A505,[2]Sheet2!$A:$A,1,FALSE)</f>
        <v>#N/A</v>
      </c>
      <c r="E505" t="e">
        <f>VLOOKUP(A505,[3]cortex!$A:$A,1,FALSE)</f>
        <v>#N/A</v>
      </c>
      <c r="F505" t="e">
        <f>VLOOKUP(A505,[4]liver!$A:$A,1,FALSE)</f>
        <v>#N/A</v>
      </c>
      <c r="H505">
        <f t="shared" si="7"/>
        <v>0</v>
      </c>
    </row>
    <row r="506" spans="1:8" x14ac:dyDescent="0.2">
      <c r="A506" s="1" t="s">
        <v>482</v>
      </c>
      <c r="B506" t="e">
        <f>VLOOKUP(A506,'[1]Table S2'!$B$3:$B$509,1,FALSE)</f>
        <v>#N/A</v>
      </c>
      <c r="C506" t="e">
        <f>VLOOKUP(A506,'[1]Table S5'!$B$3:$B$641,1,FALSE)</f>
        <v>#N/A</v>
      </c>
      <c r="D506" t="e">
        <f>VLOOKUP(A506,[2]Sheet2!$A:$A,1,FALSE)</f>
        <v>#N/A</v>
      </c>
      <c r="E506" t="e">
        <f>VLOOKUP(A506,[3]cortex!$A:$A,1,FALSE)</f>
        <v>#N/A</v>
      </c>
      <c r="F506" t="e">
        <f>VLOOKUP(A506,[4]liver!$A:$A,1,FALSE)</f>
        <v>#N/A</v>
      </c>
      <c r="H506">
        <f t="shared" si="7"/>
        <v>0</v>
      </c>
    </row>
    <row r="507" spans="1:8" x14ac:dyDescent="0.2">
      <c r="A507" s="1" t="s">
        <v>483</v>
      </c>
      <c r="B507" t="e">
        <f>VLOOKUP(A507,'[1]Table S2'!$B$3:$B$509,1,FALSE)</f>
        <v>#N/A</v>
      </c>
      <c r="C507" t="e">
        <f>VLOOKUP(A507,'[1]Table S5'!$B$3:$B$641,1,FALSE)</f>
        <v>#N/A</v>
      </c>
      <c r="D507" t="e">
        <f>VLOOKUP(A507,[2]Sheet2!$A:$A,1,FALSE)</f>
        <v>#N/A</v>
      </c>
      <c r="E507" t="e">
        <f>VLOOKUP(A507,[3]cortex!$A:$A,1,FALSE)</f>
        <v>#N/A</v>
      </c>
      <c r="F507" t="e">
        <f>VLOOKUP(A507,[4]liver!$A:$A,1,FALSE)</f>
        <v>#N/A</v>
      </c>
      <c r="H507">
        <f t="shared" si="7"/>
        <v>0</v>
      </c>
    </row>
    <row r="508" spans="1:8" x14ac:dyDescent="0.2">
      <c r="A508" s="1" t="s">
        <v>484</v>
      </c>
      <c r="B508" t="e">
        <f>VLOOKUP(A508,'[1]Table S2'!$B$3:$B$509,1,FALSE)</f>
        <v>#N/A</v>
      </c>
      <c r="C508" t="e">
        <f>VLOOKUP(A508,'[1]Table S5'!$B$3:$B$641,1,FALSE)</f>
        <v>#N/A</v>
      </c>
      <c r="D508" t="e">
        <f>VLOOKUP(A508,[2]Sheet2!$A:$A,1,FALSE)</f>
        <v>#N/A</v>
      </c>
      <c r="E508" t="e">
        <f>VLOOKUP(A508,[3]cortex!$A:$A,1,FALSE)</f>
        <v>#N/A</v>
      </c>
      <c r="F508" t="e">
        <f>VLOOKUP(A508,[4]liver!$A:$A,1,FALSE)</f>
        <v>#N/A</v>
      </c>
      <c r="H508">
        <f t="shared" si="7"/>
        <v>0</v>
      </c>
    </row>
    <row r="509" spans="1:8" x14ac:dyDescent="0.2">
      <c r="A509" s="1" t="s">
        <v>485</v>
      </c>
      <c r="B509" t="e">
        <f>VLOOKUP(A509,'[1]Table S2'!$B$3:$B$509,1,FALSE)</f>
        <v>#N/A</v>
      </c>
      <c r="C509" t="e">
        <f>VLOOKUP(A509,'[1]Table S5'!$B$3:$B$641,1,FALSE)</f>
        <v>#N/A</v>
      </c>
      <c r="D509" t="e">
        <f>VLOOKUP(A509,[2]Sheet2!$A:$A,1,FALSE)</f>
        <v>#N/A</v>
      </c>
      <c r="E509" t="e">
        <f>VLOOKUP(A509,[3]cortex!$A:$A,1,FALSE)</f>
        <v>#N/A</v>
      </c>
      <c r="F509" t="e">
        <f>VLOOKUP(A509,[4]liver!$A:$A,1,FALSE)</f>
        <v>#N/A</v>
      </c>
      <c r="H509">
        <f t="shared" si="7"/>
        <v>0</v>
      </c>
    </row>
    <row r="510" spans="1:8" x14ac:dyDescent="0.2">
      <c r="A510" s="1" t="s">
        <v>486</v>
      </c>
      <c r="B510" t="e">
        <f>VLOOKUP(A510,'[1]Table S2'!$B$3:$B$509,1,FALSE)</f>
        <v>#N/A</v>
      </c>
      <c r="C510" t="e">
        <f>VLOOKUP(A510,'[1]Table S5'!$B$3:$B$641,1,FALSE)</f>
        <v>#N/A</v>
      </c>
      <c r="D510" t="e">
        <f>VLOOKUP(A510,[2]Sheet2!$A:$A,1,FALSE)</f>
        <v>#N/A</v>
      </c>
      <c r="E510" t="e">
        <f>VLOOKUP(A510,[3]cortex!$A:$A,1,FALSE)</f>
        <v>#N/A</v>
      </c>
      <c r="F510" t="e">
        <f>VLOOKUP(A510,[4]liver!$A:$A,1,FALSE)</f>
        <v>#N/A</v>
      </c>
      <c r="H510">
        <f t="shared" si="7"/>
        <v>0</v>
      </c>
    </row>
    <row r="511" spans="1:8" x14ac:dyDescent="0.2">
      <c r="A511" s="1" t="s">
        <v>488</v>
      </c>
      <c r="B511" t="e">
        <f>VLOOKUP(A511,'[1]Table S2'!$B$3:$B$509,1,FALSE)</f>
        <v>#N/A</v>
      </c>
      <c r="C511" t="e">
        <f>VLOOKUP(A511,'[1]Table S5'!$B$3:$B$641,1,FALSE)</f>
        <v>#N/A</v>
      </c>
      <c r="D511" t="e">
        <f>VLOOKUP(A511,[2]Sheet2!$A:$A,1,FALSE)</f>
        <v>#N/A</v>
      </c>
      <c r="E511" t="e">
        <f>VLOOKUP(A511,[3]cortex!$A:$A,1,FALSE)</f>
        <v>#N/A</v>
      </c>
      <c r="F511" t="e">
        <f>VLOOKUP(A511,[4]liver!$A:$A,1,FALSE)</f>
        <v>#N/A</v>
      </c>
      <c r="H511">
        <f t="shared" si="7"/>
        <v>0</v>
      </c>
    </row>
    <row r="512" spans="1:8" x14ac:dyDescent="0.2">
      <c r="A512" s="1" t="s">
        <v>489</v>
      </c>
      <c r="B512" t="e">
        <f>VLOOKUP(A512,'[1]Table S2'!$B$3:$B$509,1,FALSE)</f>
        <v>#N/A</v>
      </c>
      <c r="C512" t="e">
        <f>VLOOKUP(A512,'[1]Table S5'!$B$3:$B$641,1,FALSE)</f>
        <v>#N/A</v>
      </c>
      <c r="D512" t="e">
        <f>VLOOKUP(A512,[2]Sheet2!$A:$A,1,FALSE)</f>
        <v>#N/A</v>
      </c>
      <c r="E512" t="e">
        <f>VLOOKUP(A512,[3]cortex!$A:$A,1,FALSE)</f>
        <v>#N/A</v>
      </c>
      <c r="F512" t="e">
        <f>VLOOKUP(A512,[4]liver!$A:$A,1,FALSE)</f>
        <v>#N/A</v>
      </c>
      <c r="H512">
        <f t="shared" si="7"/>
        <v>0</v>
      </c>
    </row>
    <row r="513" spans="1:8" x14ac:dyDescent="0.2">
      <c r="A513" s="1" t="s">
        <v>490</v>
      </c>
      <c r="B513" t="e">
        <f>VLOOKUP(A513,'[1]Table S2'!$B$3:$B$509,1,FALSE)</f>
        <v>#N/A</v>
      </c>
      <c r="C513" t="e">
        <f>VLOOKUP(A513,'[1]Table S5'!$B$3:$B$641,1,FALSE)</f>
        <v>#N/A</v>
      </c>
      <c r="D513" t="e">
        <f>VLOOKUP(A513,[2]Sheet2!$A:$A,1,FALSE)</f>
        <v>#N/A</v>
      </c>
      <c r="E513" t="e">
        <f>VLOOKUP(A513,[3]cortex!$A:$A,1,FALSE)</f>
        <v>#N/A</v>
      </c>
      <c r="F513" t="e">
        <f>VLOOKUP(A513,[4]liver!$A:$A,1,FALSE)</f>
        <v>#N/A</v>
      </c>
      <c r="H513">
        <f t="shared" si="7"/>
        <v>0</v>
      </c>
    </row>
    <row r="514" spans="1:8" x14ac:dyDescent="0.2">
      <c r="A514" s="1" t="s">
        <v>491</v>
      </c>
      <c r="B514" t="e">
        <f>VLOOKUP(A514,'[1]Table S2'!$B$3:$B$509,1,FALSE)</f>
        <v>#N/A</v>
      </c>
      <c r="C514" t="e">
        <f>VLOOKUP(A514,'[1]Table S5'!$B$3:$B$641,1,FALSE)</f>
        <v>#N/A</v>
      </c>
      <c r="D514" t="e">
        <f>VLOOKUP(A514,[2]Sheet2!$A:$A,1,FALSE)</f>
        <v>#N/A</v>
      </c>
      <c r="E514" t="e">
        <f>VLOOKUP(A514,[3]cortex!$A:$A,1,FALSE)</f>
        <v>#N/A</v>
      </c>
      <c r="F514" t="e">
        <f>VLOOKUP(A514,[4]liver!$A:$A,1,FALSE)</f>
        <v>#N/A</v>
      </c>
      <c r="H514">
        <f t="shared" ref="H514:H577" si="8">COUNTIF(B514:G514,A514)</f>
        <v>0</v>
      </c>
    </row>
    <row r="515" spans="1:8" x14ac:dyDescent="0.2">
      <c r="A515" s="1" t="s">
        <v>492</v>
      </c>
      <c r="B515" t="e">
        <f>VLOOKUP(A515,'[1]Table S2'!$B$3:$B$509,1,FALSE)</f>
        <v>#N/A</v>
      </c>
      <c r="C515" t="e">
        <f>VLOOKUP(A515,'[1]Table S5'!$B$3:$B$641,1,FALSE)</f>
        <v>#N/A</v>
      </c>
      <c r="D515" t="e">
        <f>VLOOKUP(A515,[2]Sheet2!$A:$A,1,FALSE)</f>
        <v>#N/A</v>
      </c>
      <c r="E515" t="e">
        <f>VLOOKUP(A515,[3]cortex!$A:$A,1,FALSE)</f>
        <v>#N/A</v>
      </c>
      <c r="F515" t="e">
        <f>VLOOKUP(A515,[4]liver!$A:$A,1,FALSE)</f>
        <v>#N/A</v>
      </c>
      <c r="H515">
        <f t="shared" si="8"/>
        <v>0</v>
      </c>
    </row>
    <row r="516" spans="1:8" x14ac:dyDescent="0.2">
      <c r="A516" s="1" t="s">
        <v>493</v>
      </c>
      <c r="B516" t="e">
        <f>VLOOKUP(A516,'[1]Table S2'!$B$3:$B$509,1,FALSE)</f>
        <v>#N/A</v>
      </c>
      <c r="C516" t="e">
        <f>VLOOKUP(A516,'[1]Table S5'!$B$3:$B$641,1,FALSE)</f>
        <v>#N/A</v>
      </c>
      <c r="D516" t="e">
        <f>VLOOKUP(A516,[2]Sheet2!$A:$A,1,FALSE)</f>
        <v>#N/A</v>
      </c>
      <c r="E516" t="e">
        <f>VLOOKUP(A516,[3]cortex!$A:$A,1,FALSE)</f>
        <v>#N/A</v>
      </c>
      <c r="F516" t="e">
        <f>VLOOKUP(A516,[4]liver!$A:$A,1,FALSE)</f>
        <v>#N/A</v>
      </c>
      <c r="H516">
        <f t="shared" si="8"/>
        <v>0</v>
      </c>
    </row>
    <row r="517" spans="1:8" x14ac:dyDescent="0.2">
      <c r="A517" s="1" t="s">
        <v>494</v>
      </c>
      <c r="B517" t="e">
        <f>VLOOKUP(A517,'[1]Table S2'!$B$3:$B$509,1,FALSE)</f>
        <v>#N/A</v>
      </c>
      <c r="C517" t="e">
        <f>VLOOKUP(A517,'[1]Table S5'!$B$3:$B$641,1,FALSE)</f>
        <v>#N/A</v>
      </c>
      <c r="D517" t="e">
        <f>VLOOKUP(A517,[2]Sheet2!$A:$A,1,FALSE)</f>
        <v>#N/A</v>
      </c>
      <c r="E517" t="e">
        <f>VLOOKUP(A517,[3]cortex!$A:$A,1,FALSE)</f>
        <v>#N/A</v>
      </c>
      <c r="F517" t="e">
        <f>VLOOKUP(A517,[4]liver!$A:$A,1,FALSE)</f>
        <v>#N/A</v>
      </c>
      <c r="H517">
        <f t="shared" si="8"/>
        <v>0</v>
      </c>
    </row>
    <row r="518" spans="1:8" x14ac:dyDescent="0.2">
      <c r="A518" s="1" t="s">
        <v>496</v>
      </c>
      <c r="B518" t="e">
        <f>VLOOKUP(A518,'[1]Table S2'!$B$3:$B$509,1,FALSE)</f>
        <v>#N/A</v>
      </c>
      <c r="C518" t="e">
        <f>VLOOKUP(A518,'[1]Table S5'!$B$3:$B$641,1,FALSE)</f>
        <v>#N/A</v>
      </c>
      <c r="D518" t="e">
        <f>VLOOKUP(A518,[2]Sheet2!$A:$A,1,FALSE)</f>
        <v>#N/A</v>
      </c>
      <c r="E518" t="e">
        <f>VLOOKUP(A518,[3]cortex!$A:$A,1,FALSE)</f>
        <v>#N/A</v>
      </c>
      <c r="F518" t="e">
        <f>VLOOKUP(A518,[4]liver!$A:$A,1,FALSE)</f>
        <v>#N/A</v>
      </c>
      <c r="H518">
        <f t="shared" si="8"/>
        <v>0</v>
      </c>
    </row>
    <row r="519" spans="1:8" x14ac:dyDescent="0.2">
      <c r="A519" s="1" t="s">
        <v>497</v>
      </c>
      <c r="B519" t="e">
        <f>VLOOKUP(A519,'[1]Table S2'!$B$3:$B$509,1,FALSE)</f>
        <v>#N/A</v>
      </c>
      <c r="C519" t="e">
        <f>VLOOKUP(A519,'[1]Table S5'!$B$3:$B$641,1,FALSE)</f>
        <v>#N/A</v>
      </c>
      <c r="D519" t="e">
        <f>VLOOKUP(A519,[2]Sheet2!$A:$A,1,FALSE)</f>
        <v>#N/A</v>
      </c>
      <c r="E519" t="e">
        <f>VLOOKUP(A519,[3]cortex!$A:$A,1,FALSE)</f>
        <v>#N/A</v>
      </c>
      <c r="F519" t="e">
        <f>VLOOKUP(A519,[4]liver!$A:$A,1,FALSE)</f>
        <v>#N/A</v>
      </c>
      <c r="H519">
        <f t="shared" si="8"/>
        <v>0</v>
      </c>
    </row>
    <row r="520" spans="1:8" x14ac:dyDescent="0.2">
      <c r="A520" s="1" t="s">
        <v>498</v>
      </c>
      <c r="B520" t="e">
        <f>VLOOKUP(A520,'[1]Table S2'!$B$3:$B$509,1,FALSE)</f>
        <v>#N/A</v>
      </c>
      <c r="C520" t="e">
        <f>VLOOKUP(A520,'[1]Table S5'!$B$3:$B$641,1,FALSE)</f>
        <v>#N/A</v>
      </c>
      <c r="D520" t="e">
        <f>VLOOKUP(A520,[2]Sheet2!$A:$A,1,FALSE)</f>
        <v>#N/A</v>
      </c>
      <c r="E520" t="e">
        <f>VLOOKUP(A520,[3]cortex!$A:$A,1,FALSE)</f>
        <v>#N/A</v>
      </c>
      <c r="F520" t="e">
        <f>VLOOKUP(A520,[4]liver!$A:$A,1,FALSE)</f>
        <v>#N/A</v>
      </c>
      <c r="H520">
        <f t="shared" si="8"/>
        <v>0</v>
      </c>
    </row>
    <row r="521" spans="1:8" x14ac:dyDescent="0.2">
      <c r="A521" s="1" t="s">
        <v>499</v>
      </c>
      <c r="B521" t="e">
        <f>VLOOKUP(A521,'[1]Table S2'!$B$3:$B$509,1,FALSE)</f>
        <v>#N/A</v>
      </c>
      <c r="C521" t="e">
        <f>VLOOKUP(A521,'[1]Table S5'!$B$3:$B$641,1,FALSE)</f>
        <v>#N/A</v>
      </c>
      <c r="D521" t="e">
        <f>VLOOKUP(A521,[2]Sheet2!$A:$A,1,FALSE)</f>
        <v>#N/A</v>
      </c>
      <c r="E521" t="e">
        <f>VLOOKUP(A521,[3]cortex!$A:$A,1,FALSE)</f>
        <v>#N/A</v>
      </c>
      <c r="F521" t="e">
        <f>VLOOKUP(A521,[4]liver!$A:$A,1,FALSE)</f>
        <v>#N/A</v>
      </c>
      <c r="H521">
        <f t="shared" si="8"/>
        <v>0</v>
      </c>
    </row>
    <row r="522" spans="1:8" x14ac:dyDescent="0.2">
      <c r="A522" s="1" t="s">
        <v>500</v>
      </c>
      <c r="B522" t="e">
        <f>VLOOKUP(A522,'[1]Table S2'!$B$3:$B$509,1,FALSE)</f>
        <v>#N/A</v>
      </c>
      <c r="C522" t="e">
        <f>VLOOKUP(A522,'[1]Table S5'!$B$3:$B$641,1,FALSE)</f>
        <v>#N/A</v>
      </c>
      <c r="D522" t="e">
        <f>VLOOKUP(A522,[2]Sheet2!$A:$A,1,FALSE)</f>
        <v>#N/A</v>
      </c>
      <c r="E522" t="e">
        <f>VLOOKUP(A522,[3]cortex!$A:$A,1,FALSE)</f>
        <v>#N/A</v>
      </c>
      <c r="F522" t="e">
        <f>VLOOKUP(A522,[4]liver!$A:$A,1,FALSE)</f>
        <v>#N/A</v>
      </c>
      <c r="H522">
        <f t="shared" si="8"/>
        <v>0</v>
      </c>
    </row>
    <row r="523" spans="1:8" x14ac:dyDescent="0.2">
      <c r="A523" s="1" t="s">
        <v>501</v>
      </c>
      <c r="B523" t="e">
        <f>VLOOKUP(A523,'[1]Table S2'!$B$3:$B$509,1,FALSE)</f>
        <v>#N/A</v>
      </c>
      <c r="C523" t="e">
        <f>VLOOKUP(A523,'[1]Table S5'!$B$3:$B$641,1,FALSE)</f>
        <v>#N/A</v>
      </c>
      <c r="D523" t="e">
        <f>VLOOKUP(A523,[2]Sheet2!$A:$A,1,FALSE)</f>
        <v>#N/A</v>
      </c>
      <c r="E523" t="e">
        <f>VLOOKUP(A523,[3]cortex!$A:$A,1,FALSE)</f>
        <v>#N/A</v>
      </c>
      <c r="F523" t="e">
        <f>VLOOKUP(A523,[4]liver!$A:$A,1,FALSE)</f>
        <v>#N/A</v>
      </c>
      <c r="H523">
        <f t="shared" si="8"/>
        <v>0</v>
      </c>
    </row>
    <row r="524" spans="1:8" x14ac:dyDescent="0.2">
      <c r="A524" s="1" t="s">
        <v>502</v>
      </c>
      <c r="B524" t="e">
        <f>VLOOKUP(A524,'[1]Table S2'!$B$3:$B$509,1,FALSE)</f>
        <v>#N/A</v>
      </c>
      <c r="C524" t="e">
        <f>VLOOKUP(A524,'[1]Table S5'!$B$3:$B$641,1,FALSE)</f>
        <v>#N/A</v>
      </c>
      <c r="D524" t="e">
        <f>VLOOKUP(A524,[2]Sheet2!$A:$A,1,FALSE)</f>
        <v>#N/A</v>
      </c>
      <c r="E524" t="e">
        <f>VLOOKUP(A524,[3]cortex!$A:$A,1,FALSE)</f>
        <v>#N/A</v>
      </c>
      <c r="F524" t="e">
        <f>VLOOKUP(A524,[4]liver!$A:$A,1,FALSE)</f>
        <v>#N/A</v>
      </c>
      <c r="H524">
        <f t="shared" si="8"/>
        <v>0</v>
      </c>
    </row>
    <row r="525" spans="1:8" x14ac:dyDescent="0.2">
      <c r="A525" s="1" t="s">
        <v>503</v>
      </c>
      <c r="B525" t="e">
        <f>VLOOKUP(A525,'[1]Table S2'!$B$3:$B$509,1,FALSE)</f>
        <v>#N/A</v>
      </c>
      <c r="C525" t="e">
        <f>VLOOKUP(A525,'[1]Table S5'!$B$3:$B$641,1,FALSE)</f>
        <v>#N/A</v>
      </c>
      <c r="D525" t="e">
        <f>VLOOKUP(A525,[2]Sheet2!$A:$A,1,FALSE)</f>
        <v>#N/A</v>
      </c>
      <c r="E525" t="e">
        <f>VLOOKUP(A525,[3]cortex!$A:$A,1,FALSE)</f>
        <v>#N/A</v>
      </c>
      <c r="F525" t="e">
        <f>VLOOKUP(A525,[4]liver!$A:$A,1,FALSE)</f>
        <v>#N/A</v>
      </c>
      <c r="H525">
        <f t="shared" si="8"/>
        <v>0</v>
      </c>
    </row>
    <row r="526" spans="1:8" x14ac:dyDescent="0.2">
      <c r="A526" s="1" t="s">
        <v>504</v>
      </c>
      <c r="B526" t="e">
        <f>VLOOKUP(A526,'[1]Table S2'!$B$3:$B$509,1,FALSE)</f>
        <v>#N/A</v>
      </c>
      <c r="C526" t="e">
        <f>VLOOKUP(A526,'[1]Table S5'!$B$3:$B$641,1,FALSE)</f>
        <v>#N/A</v>
      </c>
      <c r="D526" t="e">
        <f>VLOOKUP(A526,[2]Sheet2!$A:$A,1,FALSE)</f>
        <v>#N/A</v>
      </c>
      <c r="E526" t="e">
        <f>VLOOKUP(A526,[3]cortex!$A:$A,1,FALSE)</f>
        <v>#N/A</v>
      </c>
      <c r="F526" t="e">
        <f>VLOOKUP(A526,[4]liver!$A:$A,1,FALSE)</f>
        <v>#N/A</v>
      </c>
      <c r="H526">
        <f t="shared" si="8"/>
        <v>0</v>
      </c>
    </row>
    <row r="527" spans="1:8" x14ac:dyDescent="0.2">
      <c r="A527" s="1" t="s">
        <v>505</v>
      </c>
      <c r="B527" t="e">
        <f>VLOOKUP(A527,'[1]Table S2'!$B$3:$B$509,1,FALSE)</f>
        <v>#N/A</v>
      </c>
      <c r="C527" t="e">
        <f>VLOOKUP(A527,'[1]Table S5'!$B$3:$B$641,1,FALSE)</f>
        <v>#N/A</v>
      </c>
      <c r="D527" t="e">
        <f>VLOOKUP(A527,[2]Sheet2!$A:$A,1,FALSE)</f>
        <v>#N/A</v>
      </c>
      <c r="E527" t="e">
        <f>VLOOKUP(A527,[3]cortex!$A:$A,1,FALSE)</f>
        <v>#N/A</v>
      </c>
      <c r="F527" t="e">
        <f>VLOOKUP(A527,[4]liver!$A:$A,1,FALSE)</f>
        <v>#N/A</v>
      </c>
      <c r="H527">
        <f t="shared" si="8"/>
        <v>0</v>
      </c>
    </row>
    <row r="528" spans="1:8" x14ac:dyDescent="0.2">
      <c r="A528" s="1" t="s">
        <v>506</v>
      </c>
      <c r="B528" t="e">
        <f>VLOOKUP(A528,'[1]Table S2'!$B$3:$B$509,1,FALSE)</f>
        <v>#N/A</v>
      </c>
      <c r="C528" t="e">
        <f>VLOOKUP(A528,'[1]Table S5'!$B$3:$B$641,1,FALSE)</f>
        <v>#N/A</v>
      </c>
      <c r="D528" t="e">
        <f>VLOOKUP(A528,[2]Sheet2!$A:$A,1,FALSE)</f>
        <v>#N/A</v>
      </c>
      <c r="E528" t="e">
        <f>VLOOKUP(A528,[3]cortex!$A:$A,1,FALSE)</f>
        <v>#N/A</v>
      </c>
      <c r="F528" t="e">
        <f>VLOOKUP(A528,[4]liver!$A:$A,1,FALSE)</f>
        <v>#N/A</v>
      </c>
      <c r="H528">
        <f t="shared" si="8"/>
        <v>0</v>
      </c>
    </row>
    <row r="529" spans="1:8" x14ac:dyDescent="0.2">
      <c r="A529" s="1" t="s">
        <v>507</v>
      </c>
      <c r="B529" t="e">
        <f>VLOOKUP(A529,'[1]Table S2'!$B$3:$B$509,1,FALSE)</f>
        <v>#N/A</v>
      </c>
      <c r="C529" t="e">
        <f>VLOOKUP(A529,'[1]Table S5'!$B$3:$B$641,1,FALSE)</f>
        <v>#N/A</v>
      </c>
      <c r="D529" t="e">
        <f>VLOOKUP(A529,[2]Sheet2!$A:$A,1,FALSE)</f>
        <v>#N/A</v>
      </c>
      <c r="E529" t="e">
        <f>VLOOKUP(A529,[3]cortex!$A:$A,1,FALSE)</f>
        <v>#N/A</v>
      </c>
      <c r="F529" t="e">
        <f>VLOOKUP(A529,[4]liver!$A:$A,1,FALSE)</f>
        <v>#N/A</v>
      </c>
      <c r="H529">
        <f t="shared" si="8"/>
        <v>0</v>
      </c>
    </row>
    <row r="530" spans="1:8" x14ac:dyDescent="0.2">
      <c r="A530" s="1" t="s">
        <v>508</v>
      </c>
      <c r="B530" t="e">
        <f>VLOOKUP(A530,'[1]Table S2'!$B$3:$B$509,1,FALSE)</f>
        <v>#N/A</v>
      </c>
      <c r="C530" t="e">
        <f>VLOOKUP(A530,'[1]Table S5'!$B$3:$B$641,1,FALSE)</f>
        <v>#N/A</v>
      </c>
      <c r="D530" t="e">
        <f>VLOOKUP(A530,[2]Sheet2!$A:$A,1,FALSE)</f>
        <v>#N/A</v>
      </c>
      <c r="E530" t="e">
        <f>VLOOKUP(A530,[3]cortex!$A:$A,1,FALSE)</f>
        <v>#N/A</v>
      </c>
      <c r="F530" t="e">
        <f>VLOOKUP(A530,[4]liver!$A:$A,1,FALSE)</f>
        <v>#N/A</v>
      </c>
      <c r="H530">
        <f t="shared" si="8"/>
        <v>0</v>
      </c>
    </row>
    <row r="531" spans="1:8" x14ac:dyDescent="0.2">
      <c r="A531" s="1" t="s">
        <v>509</v>
      </c>
      <c r="B531" t="e">
        <f>VLOOKUP(A531,'[1]Table S2'!$B$3:$B$509,1,FALSE)</f>
        <v>#N/A</v>
      </c>
      <c r="C531" t="e">
        <f>VLOOKUP(A531,'[1]Table S5'!$B$3:$B$641,1,FALSE)</f>
        <v>#N/A</v>
      </c>
      <c r="D531" t="e">
        <f>VLOOKUP(A531,[2]Sheet2!$A:$A,1,FALSE)</f>
        <v>#N/A</v>
      </c>
      <c r="E531" t="e">
        <f>VLOOKUP(A531,[3]cortex!$A:$A,1,FALSE)</f>
        <v>#N/A</v>
      </c>
      <c r="F531" t="e">
        <f>VLOOKUP(A531,[4]liver!$A:$A,1,FALSE)</f>
        <v>#N/A</v>
      </c>
      <c r="H531">
        <f t="shared" si="8"/>
        <v>0</v>
      </c>
    </row>
    <row r="532" spans="1:8" x14ac:dyDescent="0.2">
      <c r="A532" s="1" t="s">
        <v>511</v>
      </c>
      <c r="B532" t="e">
        <f>VLOOKUP(A532,'[1]Table S2'!$B$3:$B$509,1,FALSE)</f>
        <v>#N/A</v>
      </c>
      <c r="C532" t="e">
        <f>VLOOKUP(A532,'[1]Table S5'!$B$3:$B$641,1,FALSE)</f>
        <v>#N/A</v>
      </c>
      <c r="D532" t="e">
        <f>VLOOKUP(A532,[2]Sheet2!$A:$A,1,FALSE)</f>
        <v>#N/A</v>
      </c>
      <c r="E532" t="e">
        <f>VLOOKUP(A532,[3]cortex!$A:$A,1,FALSE)</f>
        <v>#N/A</v>
      </c>
      <c r="F532" t="e">
        <f>VLOOKUP(A532,[4]liver!$A:$A,1,FALSE)</f>
        <v>#N/A</v>
      </c>
      <c r="H532">
        <f t="shared" si="8"/>
        <v>0</v>
      </c>
    </row>
    <row r="533" spans="1:8" x14ac:dyDescent="0.2">
      <c r="A533" s="1" t="s">
        <v>512</v>
      </c>
      <c r="B533" t="e">
        <f>VLOOKUP(A533,'[1]Table S2'!$B$3:$B$509,1,FALSE)</f>
        <v>#N/A</v>
      </c>
      <c r="C533" t="e">
        <f>VLOOKUP(A533,'[1]Table S5'!$B$3:$B$641,1,FALSE)</f>
        <v>#N/A</v>
      </c>
      <c r="D533" t="e">
        <f>VLOOKUP(A533,[2]Sheet2!$A:$A,1,FALSE)</f>
        <v>#N/A</v>
      </c>
      <c r="E533" t="e">
        <f>VLOOKUP(A533,[3]cortex!$A:$A,1,FALSE)</f>
        <v>#N/A</v>
      </c>
      <c r="F533" t="e">
        <f>VLOOKUP(A533,[4]liver!$A:$A,1,FALSE)</f>
        <v>#N/A</v>
      </c>
      <c r="H533">
        <f t="shared" si="8"/>
        <v>0</v>
      </c>
    </row>
    <row r="534" spans="1:8" x14ac:dyDescent="0.2">
      <c r="A534" s="1" t="s">
        <v>513</v>
      </c>
      <c r="B534" t="e">
        <f>VLOOKUP(A534,'[1]Table S2'!$B$3:$B$509,1,FALSE)</f>
        <v>#N/A</v>
      </c>
      <c r="C534" t="e">
        <f>VLOOKUP(A534,'[1]Table S5'!$B$3:$B$641,1,FALSE)</f>
        <v>#N/A</v>
      </c>
      <c r="D534" t="e">
        <f>VLOOKUP(A534,[2]Sheet2!$A:$A,1,FALSE)</f>
        <v>#N/A</v>
      </c>
      <c r="E534" t="e">
        <f>VLOOKUP(A534,[3]cortex!$A:$A,1,FALSE)</f>
        <v>#N/A</v>
      </c>
      <c r="F534" t="e">
        <f>VLOOKUP(A534,[4]liver!$A:$A,1,FALSE)</f>
        <v>#N/A</v>
      </c>
      <c r="H534">
        <f t="shared" si="8"/>
        <v>0</v>
      </c>
    </row>
    <row r="535" spans="1:8" x14ac:dyDescent="0.2">
      <c r="A535" s="1" t="s">
        <v>514</v>
      </c>
      <c r="B535" t="e">
        <f>VLOOKUP(A535,'[1]Table S2'!$B$3:$B$509,1,FALSE)</f>
        <v>#N/A</v>
      </c>
      <c r="C535" t="e">
        <f>VLOOKUP(A535,'[1]Table S5'!$B$3:$B$641,1,FALSE)</f>
        <v>#N/A</v>
      </c>
      <c r="D535" t="e">
        <f>VLOOKUP(A535,[2]Sheet2!$A:$A,1,FALSE)</f>
        <v>#N/A</v>
      </c>
      <c r="E535" t="e">
        <f>VLOOKUP(A535,[3]cortex!$A:$A,1,FALSE)</f>
        <v>#N/A</v>
      </c>
      <c r="F535" t="e">
        <f>VLOOKUP(A535,[4]liver!$A:$A,1,FALSE)</f>
        <v>#N/A</v>
      </c>
      <c r="H535">
        <f t="shared" si="8"/>
        <v>0</v>
      </c>
    </row>
    <row r="536" spans="1:8" x14ac:dyDescent="0.2">
      <c r="A536" s="1" t="s">
        <v>515</v>
      </c>
      <c r="B536" t="e">
        <f>VLOOKUP(A536,'[1]Table S2'!$B$3:$B$509,1,FALSE)</f>
        <v>#N/A</v>
      </c>
      <c r="C536" t="e">
        <f>VLOOKUP(A536,'[1]Table S5'!$B$3:$B$641,1,FALSE)</f>
        <v>#N/A</v>
      </c>
      <c r="D536" t="e">
        <f>VLOOKUP(A536,[2]Sheet2!$A:$A,1,FALSE)</f>
        <v>#N/A</v>
      </c>
      <c r="E536" t="e">
        <f>VLOOKUP(A536,[3]cortex!$A:$A,1,FALSE)</f>
        <v>#N/A</v>
      </c>
      <c r="F536" t="e">
        <f>VLOOKUP(A536,[4]liver!$A:$A,1,FALSE)</f>
        <v>#N/A</v>
      </c>
      <c r="H536">
        <f t="shared" si="8"/>
        <v>0</v>
      </c>
    </row>
    <row r="537" spans="1:8" x14ac:dyDescent="0.2">
      <c r="A537" s="1" t="s">
        <v>518</v>
      </c>
      <c r="B537" t="e">
        <f>VLOOKUP(A537,'[1]Table S2'!$B$3:$B$509,1,FALSE)</f>
        <v>#N/A</v>
      </c>
      <c r="C537" t="e">
        <f>VLOOKUP(A537,'[1]Table S5'!$B$3:$B$641,1,FALSE)</f>
        <v>#N/A</v>
      </c>
      <c r="D537" t="e">
        <f>VLOOKUP(A537,[2]Sheet2!$A:$A,1,FALSE)</f>
        <v>#N/A</v>
      </c>
      <c r="E537" t="e">
        <f>VLOOKUP(A537,[3]cortex!$A:$A,1,FALSE)</f>
        <v>#N/A</v>
      </c>
      <c r="F537" t="e">
        <f>VLOOKUP(A537,[4]liver!$A:$A,1,FALSE)</f>
        <v>#N/A</v>
      </c>
      <c r="H537">
        <f t="shared" si="8"/>
        <v>0</v>
      </c>
    </row>
    <row r="538" spans="1:8" x14ac:dyDescent="0.2">
      <c r="A538" s="1" t="s">
        <v>519</v>
      </c>
      <c r="B538" t="e">
        <f>VLOOKUP(A538,'[1]Table S2'!$B$3:$B$509,1,FALSE)</f>
        <v>#N/A</v>
      </c>
      <c r="C538" t="e">
        <f>VLOOKUP(A538,'[1]Table S5'!$B$3:$B$641,1,FALSE)</f>
        <v>#N/A</v>
      </c>
      <c r="D538" t="e">
        <f>VLOOKUP(A538,[2]Sheet2!$A:$A,1,FALSE)</f>
        <v>#N/A</v>
      </c>
      <c r="E538" t="e">
        <f>VLOOKUP(A538,[3]cortex!$A:$A,1,FALSE)</f>
        <v>#N/A</v>
      </c>
      <c r="F538" t="e">
        <f>VLOOKUP(A538,[4]liver!$A:$A,1,FALSE)</f>
        <v>#N/A</v>
      </c>
      <c r="H538">
        <f t="shared" si="8"/>
        <v>0</v>
      </c>
    </row>
    <row r="539" spans="1:8" x14ac:dyDescent="0.2">
      <c r="A539" s="1" t="s">
        <v>520</v>
      </c>
      <c r="B539" t="e">
        <f>VLOOKUP(A539,'[1]Table S2'!$B$3:$B$509,1,FALSE)</f>
        <v>#N/A</v>
      </c>
      <c r="C539" t="e">
        <f>VLOOKUP(A539,'[1]Table S5'!$B$3:$B$641,1,FALSE)</f>
        <v>#N/A</v>
      </c>
      <c r="D539" t="e">
        <f>VLOOKUP(A539,[2]Sheet2!$A:$A,1,FALSE)</f>
        <v>#N/A</v>
      </c>
      <c r="E539" t="e">
        <f>VLOOKUP(A539,[3]cortex!$A:$A,1,FALSE)</f>
        <v>#N/A</v>
      </c>
      <c r="F539" t="e">
        <f>VLOOKUP(A539,[4]liver!$A:$A,1,FALSE)</f>
        <v>#N/A</v>
      </c>
      <c r="H539">
        <f t="shared" si="8"/>
        <v>0</v>
      </c>
    </row>
    <row r="540" spans="1:8" x14ac:dyDescent="0.2">
      <c r="A540" s="1" t="s">
        <v>521</v>
      </c>
      <c r="B540" t="e">
        <f>VLOOKUP(A540,'[1]Table S2'!$B$3:$B$509,1,FALSE)</f>
        <v>#N/A</v>
      </c>
      <c r="C540" t="e">
        <f>VLOOKUP(A540,'[1]Table S5'!$B$3:$B$641,1,FALSE)</f>
        <v>#N/A</v>
      </c>
      <c r="D540" t="e">
        <f>VLOOKUP(A540,[2]Sheet2!$A:$A,1,FALSE)</f>
        <v>#N/A</v>
      </c>
      <c r="E540" t="e">
        <f>VLOOKUP(A540,[3]cortex!$A:$A,1,FALSE)</f>
        <v>#N/A</v>
      </c>
      <c r="F540" t="e">
        <f>VLOOKUP(A540,[4]liver!$A:$A,1,FALSE)</f>
        <v>#N/A</v>
      </c>
      <c r="H540">
        <f t="shared" si="8"/>
        <v>0</v>
      </c>
    </row>
    <row r="541" spans="1:8" x14ac:dyDescent="0.2">
      <c r="A541" s="1" t="s">
        <v>522</v>
      </c>
      <c r="B541" t="e">
        <f>VLOOKUP(A541,'[1]Table S2'!$B$3:$B$509,1,FALSE)</f>
        <v>#N/A</v>
      </c>
      <c r="C541" t="e">
        <f>VLOOKUP(A541,'[1]Table S5'!$B$3:$B$641,1,FALSE)</f>
        <v>#N/A</v>
      </c>
      <c r="D541" t="e">
        <f>VLOOKUP(A541,[2]Sheet2!$A:$A,1,FALSE)</f>
        <v>#N/A</v>
      </c>
      <c r="E541" t="e">
        <f>VLOOKUP(A541,[3]cortex!$A:$A,1,FALSE)</f>
        <v>#N/A</v>
      </c>
      <c r="F541" t="e">
        <f>VLOOKUP(A541,[4]liver!$A:$A,1,FALSE)</f>
        <v>#N/A</v>
      </c>
      <c r="H541">
        <f t="shared" si="8"/>
        <v>0</v>
      </c>
    </row>
    <row r="542" spans="1:8" x14ac:dyDescent="0.2">
      <c r="A542" s="1" t="s">
        <v>523</v>
      </c>
      <c r="B542" t="e">
        <f>VLOOKUP(A542,'[1]Table S2'!$B$3:$B$509,1,FALSE)</f>
        <v>#N/A</v>
      </c>
      <c r="C542" t="e">
        <f>VLOOKUP(A542,'[1]Table S5'!$B$3:$B$641,1,FALSE)</f>
        <v>#N/A</v>
      </c>
      <c r="D542" t="e">
        <f>VLOOKUP(A542,[2]Sheet2!$A:$A,1,FALSE)</f>
        <v>#N/A</v>
      </c>
      <c r="E542" t="e">
        <f>VLOOKUP(A542,[3]cortex!$A:$A,1,FALSE)</f>
        <v>#N/A</v>
      </c>
      <c r="F542" t="e">
        <f>VLOOKUP(A542,[4]liver!$A:$A,1,FALSE)</f>
        <v>#N/A</v>
      </c>
      <c r="H542">
        <f t="shared" si="8"/>
        <v>0</v>
      </c>
    </row>
    <row r="543" spans="1:8" x14ac:dyDescent="0.2">
      <c r="A543" s="1" t="s">
        <v>524</v>
      </c>
      <c r="B543" t="e">
        <f>VLOOKUP(A543,'[1]Table S2'!$B$3:$B$509,1,FALSE)</f>
        <v>#N/A</v>
      </c>
      <c r="C543" t="e">
        <f>VLOOKUP(A543,'[1]Table S5'!$B$3:$B$641,1,FALSE)</f>
        <v>#N/A</v>
      </c>
      <c r="D543" t="e">
        <f>VLOOKUP(A543,[2]Sheet2!$A:$A,1,FALSE)</f>
        <v>#N/A</v>
      </c>
      <c r="E543" t="e">
        <f>VLOOKUP(A543,[3]cortex!$A:$A,1,FALSE)</f>
        <v>#N/A</v>
      </c>
      <c r="F543" t="e">
        <f>VLOOKUP(A543,[4]liver!$A:$A,1,FALSE)</f>
        <v>#N/A</v>
      </c>
      <c r="H543">
        <f t="shared" si="8"/>
        <v>0</v>
      </c>
    </row>
    <row r="544" spans="1:8" x14ac:dyDescent="0.2">
      <c r="A544" s="1" t="s">
        <v>525</v>
      </c>
      <c r="B544" t="e">
        <f>VLOOKUP(A544,'[1]Table S2'!$B$3:$B$509,1,FALSE)</f>
        <v>#N/A</v>
      </c>
      <c r="C544" t="e">
        <f>VLOOKUP(A544,'[1]Table S5'!$B$3:$B$641,1,FALSE)</f>
        <v>#N/A</v>
      </c>
      <c r="D544" t="e">
        <f>VLOOKUP(A544,[2]Sheet2!$A:$A,1,FALSE)</f>
        <v>#N/A</v>
      </c>
      <c r="E544" t="e">
        <f>VLOOKUP(A544,[3]cortex!$A:$A,1,FALSE)</f>
        <v>#N/A</v>
      </c>
      <c r="F544" t="e">
        <f>VLOOKUP(A544,[4]liver!$A:$A,1,FALSE)</f>
        <v>#N/A</v>
      </c>
      <c r="H544">
        <f t="shared" si="8"/>
        <v>0</v>
      </c>
    </row>
    <row r="545" spans="1:8" x14ac:dyDescent="0.2">
      <c r="A545" s="1" t="s">
        <v>526</v>
      </c>
      <c r="B545" t="e">
        <f>VLOOKUP(A545,'[1]Table S2'!$B$3:$B$509,1,FALSE)</f>
        <v>#N/A</v>
      </c>
      <c r="C545" t="e">
        <f>VLOOKUP(A545,'[1]Table S5'!$B$3:$B$641,1,FALSE)</f>
        <v>#N/A</v>
      </c>
      <c r="D545" t="e">
        <f>VLOOKUP(A545,[2]Sheet2!$A:$A,1,FALSE)</f>
        <v>#N/A</v>
      </c>
      <c r="E545" t="e">
        <f>VLOOKUP(A545,[3]cortex!$A:$A,1,FALSE)</f>
        <v>#N/A</v>
      </c>
      <c r="F545" t="e">
        <f>VLOOKUP(A545,[4]liver!$A:$A,1,FALSE)</f>
        <v>#N/A</v>
      </c>
      <c r="H545">
        <f t="shared" si="8"/>
        <v>0</v>
      </c>
    </row>
    <row r="546" spans="1:8" x14ac:dyDescent="0.2">
      <c r="A546" s="1" t="s">
        <v>527</v>
      </c>
      <c r="B546" t="e">
        <f>VLOOKUP(A546,'[1]Table S2'!$B$3:$B$509,1,FALSE)</f>
        <v>#N/A</v>
      </c>
      <c r="C546" t="e">
        <f>VLOOKUP(A546,'[1]Table S5'!$B$3:$B$641,1,FALSE)</f>
        <v>#N/A</v>
      </c>
      <c r="D546" t="e">
        <f>VLOOKUP(A546,[2]Sheet2!$A:$A,1,FALSE)</f>
        <v>#N/A</v>
      </c>
      <c r="E546" t="e">
        <f>VLOOKUP(A546,[3]cortex!$A:$A,1,FALSE)</f>
        <v>#N/A</v>
      </c>
      <c r="F546" t="e">
        <f>VLOOKUP(A546,[4]liver!$A:$A,1,FALSE)</f>
        <v>#N/A</v>
      </c>
      <c r="H546">
        <f t="shared" si="8"/>
        <v>0</v>
      </c>
    </row>
    <row r="547" spans="1:8" x14ac:dyDescent="0.2">
      <c r="A547" s="1" t="s">
        <v>528</v>
      </c>
      <c r="B547" t="e">
        <f>VLOOKUP(A547,'[1]Table S2'!$B$3:$B$509,1,FALSE)</f>
        <v>#N/A</v>
      </c>
      <c r="C547" t="e">
        <f>VLOOKUP(A547,'[1]Table S5'!$B$3:$B$641,1,FALSE)</f>
        <v>#N/A</v>
      </c>
      <c r="D547" t="e">
        <f>VLOOKUP(A547,[2]Sheet2!$A:$A,1,FALSE)</f>
        <v>#N/A</v>
      </c>
      <c r="E547" t="e">
        <f>VLOOKUP(A547,[3]cortex!$A:$A,1,FALSE)</f>
        <v>#N/A</v>
      </c>
      <c r="F547" t="e">
        <f>VLOOKUP(A547,[4]liver!$A:$A,1,FALSE)</f>
        <v>#N/A</v>
      </c>
      <c r="H547">
        <f t="shared" si="8"/>
        <v>0</v>
      </c>
    </row>
    <row r="548" spans="1:8" x14ac:dyDescent="0.2">
      <c r="A548" s="1" t="s">
        <v>529</v>
      </c>
      <c r="B548" t="e">
        <f>VLOOKUP(A548,'[1]Table S2'!$B$3:$B$509,1,FALSE)</f>
        <v>#N/A</v>
      </c>
      <c r="C548" t="e">
        <f>VLOOKUP(A548,'[1]Table S5'!$B$3:$B$641,1,FALSE)</f>
        <v>#N/A</v>
      </c>
      <c r="D548" t="e">
        <f>VLOOKUP(A548,[2]Sheet2!$A:$A,1,FALSE)</f>
        <v>#N/A</v>
      </c>
      <c r="E548" t="e">
        <f>VLOOKUP(A548,[3]cortex!$A:$A,1,FALSE)</f>
        <v>#N/A</v>
      </c>
      <c r="F548" t="e">
        <f>VLOOKUP(A548,[4]liver!$A:$A,1,FALSE)</f>
        <v>#N/A</v>
      </c>
      <c r="H548">
        <f t="shared" si="8"/>
        <v>0</v>
      </c>
    </row>
    <row r="549" spans="1:8" x14ac:dyDescent="0.2">
      <c r="A549" s="1" t="s">
        <v>530</v>
      </c>
      <c r="B549" t="e">
        <f>VLOOKUP(A549,'[1]Table S2'!$B$3:$B$509,1,FALSE)</f>
        <v>#N/A</v>
      </c>
      <c r="C549" t="e">
        <f>VLOOKUP(A549,'[1]Table S5'!$B$3:$B$641,1,FALSE)</f>
        <v>#N/A</v>
      </c>
      <c r="D549" t="e">
        <f>VLOOKUP(A549,[2]Sheet2!$A:$A,1,FALSE)</f>
        <v>#N/A</v>
      </c>
      <c r="E549" t="e">
        <f>VLOOKUP(A549,[3]cortex!$A:$A,1,FALSE)</f>
        <v>#N/A</v>
      </c>
      <c r="F549" t="e">
        <f>VLOOKUP(A549,[4]liver!$A:$A,1,FALSE)</f>
        <v>#N/A</v>
      </c>
      <c r="H549">
        <f t="shared" si="8"/>
        <v>0</v>
      </c>
    </row>
    <row r="550" spans="1:8" x14ac:dyDescent="0.2">
      <c r="A550" s="1" t="s">
        <v>531</v>
      </c>
      <c r="B550" t="e">
        <f>VLOOKUP(A550,'[1]Table S2'!$B$3:$B$509,1,FALSE)</f>
        <v>#N/A</v>
      </c>
      <c r="C550" t="e">
        <f>VLOOKUP(A550,'[1]Table S5'!$B$3:$B$641,1,FALSE)</f>
        <v>#N/A</v>
      </c>
      <c r="D550" t="e">
        <f>VLOOKUP(A550,[2]Sheet2!$A:$A,1,FALSE)</f>
        <v>#N/A</v>
      </c>
      <c r="E550" t="e">
        <f>VLOOKUP(A550,[3]cortex!$A:$A,1,FALSE)</f>
        <v>#N/A</v>
      </c>
      <c r="F550" t="e">
        <f>VLOOKUP(A550,[4]liver!$A:$A,1,FALSE)</f>
        <v>#N/A</v>
      </c>
      <c r="H550">
        <f t="shared" si="8"/>
        <v>0</v>
      </c>
    </row>
    <row r="551" spans="1:8" x14ac:dyDescent="0.2">
      <c r="A551" s="1" t="s">
        <v>532</v>
      </c>
      <c r="B551" t="e">
        <f>VLOOKUP(A551,'[1]Table S2'!$B$3:$B$509,1,FALSE)</f>
        <v>#N/A</v>
      </c>
      <c r="C551" t="e">
        <f>VLOOKUP(A551,'[1]Table S5'!$B$3:$B$641,1,FALSE)</f>
        <v>#N/A</v>
      </c>
      <c r="D551" t="e">
        <f>VLOOKUP(A551,[2]Sheet2!$A:$A,1,FALSE)</f>
        <v>#N/A</v>
      </c>
      <c r="E551" t="e">
        <f>VLOOKUP(A551,[3]cortex!$A:$A,1,FALSE)</f>
        <v>#N/A</v>
      </c>
      <c r="F551" t="e">
        <f>VLOOKUP(A551,[4]liver!$A:$A,1,FALSE)</f>
        <v>#N/A</v>
      </c>
      <c r="H551">
        <f t="shared" si="8"/>
        <v>0</v>
      </c>
    </row>
    <row r="552" spans="1:8" x14ac:dyDescent="0.2">
      <c r="A552" s="1" t="s">
        <v>533</v>
      </c>
      <c r="B552" t="e">
        <f>VLOOKUP(A552,'[1]Table S2'!$B$3:$B$509,1,FALSE)</f>
        <v>#N/A</v>
      </c>
      <c r="C552" t="e">
        <f>VLOOKUP(A552,'[1]Table S5'!$B$3:$B$641,1,FALSE)</f>
        <v>#N/A</v>
      </c>
      <c r="D552" t="e">
        <f>VLOOKUP(A552,[2]Sheet2!$A:$A,1,FALSE)</f>
        <v>#N/A</v>
      </c>
      <c r="E552" t="e">
        <f>VLOOKUP(A552,[3]cortex!$A:$A,1,FALSE)</f>
        <v>#N/A</v>
      </c>
      <c r="F552" t="e">
        <f>VLOOKUP(A552,[4]liver!$A:$A,1,FALSE)</f>
        <v>#N/A</v>
      </c>
      <c r="H552">
        <f t="shared" si="8"/>
        <v>0</v>
      </c>
    </row>
    <row r="553" spans="1:8" x14ac:dyDescent="0.2">
      <c r="A553" s="1" t="s">
        <v>534</v>
      </c>
      <c r="B553" t="e">
        <f>VLOOKUP(A553,'[1]Table S2'!$B$3:$B$509,1,FALSE)</f>
        <v>#N/A</v>
      </c>
      <c r="C553" t="e">
        <f>VLOOKUP(A553,'[1]Table S5'!$B$3:$B$641,1,FALSE)</f>
        <v>#N/A</v>
      </c>
      <c r="D553" t="e">
        <f>VLOOKUP(A553,[2]Sheet2!$A:$A,1,FALSE)</f>
        <v>#N/A</v>
      </c>
      <c r="E553" t="e">
        <f>VLOOKUP(A553,[3]cortex!$A:$A,1,FALSE)</f>
        <v>#N/A</v>
      </c>
      <c r="F553" t="e">
        <f>VLOOKUP(A553,[4]liver!$A:$A,1,FALSE)</f>
        <v>#N/A</v>
      </c>
      <c r="H553">
        <f t="shared" si="8"/>
        <v>0</v>
      </c>
    </row>
    <row r="554" spans="1:8" x14ac:dyDescent="0.2">
      <c r="A554" s="1" t="s">
        <v>535</v>
      </c>
      <c r="B554" t="e">
        <f>VLOOKUP(A554,'[1]Table S2'!$B$3:$B$509,1,FALSE)</f>
        <v>#N/A</v>
      </c>
      <c r="C554" t="e">
        <f>VLOOKUP(A554,'[1]Table S5'!$B$3:$B$641,1,FALSE)</f>
        <v>#N/A</v>
      </c>
      <c r="D554" t="e">
        <f>VLOOKUP(A554,[2]Sheet2!$A:$A,1,FALSE)</f>
        <v>#N/A</v>
      </c>
      <c r="E554" t="e">
        <f>VLOOKUP(A554,[3]cortex!$A:$A,1,FALSE)</f>
        <v>#N/A</v>
      </c>
      <c r="F554" t="e">
        <f>VLOOKUP(A554,[4]liver!$A:$A,1,FALSE)</f>
        <v>#N/A</v>
      </c>
      <c r="H554">
        <f t="shared" si="8"/>
        <v>0</v>
      </c>
    </row>
    <row r="555" spans="1:8" x14ac:dyDescent="0.2">
      <c r="A555" s="1" t="s">
        <v>536</v>
      </c>
      <c r="B555" t="e">
        <f>VLOOKUP(A555,'[1]Table S2'!$B$3:$B$509,1,FALSE)</f>
        <v>#N/A</v>
      </c>
      <c r="C555" t="e">
        <f>VLOOKUP(A555,'[1]Table S5'!$B$3:$B$641,1,FALSE)</f>
        <v>#N/A</v>
      </c>
      <c r="D555" t="e">
        <f>VLOOKUP(A555,[2]Sheet2!$A:$A,1,FALSE)</f>
        <v>#N/A</v>
      </c>
      <c r="E555" t="e">
        <f>VLOOKUP(A555,[3]cortex!$A:$A,1,FALSE)</f>
        <v>#N/A</v>
      </c>
      <c r="F555" t="e">
        <f>VLOOKUP(A555,[4]liver!$A:$A,1,FALSE)</f>
        <v>#N/A</v>
      </c>
      <c r="H555">
        <f t="shared" si="8"/>
        <v>0</v>
      </c>
    </row>
    <row r="556" spans="1:8" x14ac:dyDescent="0.2">
      <c r="A556" s="1" t="s">
        <v>537</v>
      </c>
      <c r="B556" t="e">
        <f>VLOOKUP(A556,'[1]Table S2'!$B$3:$B$509,1,FALSE)</f>
        <v>#N/A</v>
      </c>
      <c r="C556" t="e">
        <f>VLOOKUP(A556,'[1]Table S5'!$B$3:$B$641,1,FALSE)</f>
        <v>#N/A</v>
      </c>
      <c r="D556" t="e">
        <f>VLOOKUP(A556,[2]Sheet2!$A:$A,1,FALSE)</f>
        <v>#N/A</v>
      </c>
      <c r="E556" t="e">
        <f>VLOOKUP(A556,[3]cortex!$A:$A,1,FALSE)</f>
        <v>#N/A</v>
      </c>
      <c r="F556" t="e">
        <f>VLOOKUP(A556,[4]liver!$A:$A,1,FALSE)</f>
        <v>#N/A</v>
      </c>
      <c r="H556">
        <f t="shared" si="8"/>
        <v>0</v>
      </c>
    </row>
    <row r="557" spans="1:8" x14ac:dyDescent="0.2">
      <c r="A557" s="1" t="s">
        <v>538</v>
      </c>
      <c r="B557" t="e">
        <f>VLOOKUP(A557,'[1]Table S2'!$B$3:$B$509,1,FALSE)</f>
        <v>#N/A</v>
      </c>
      <c r="C557" t="e">
        <f>VLOOKUP(A557,'[1]Table S5'!$B$3:$B$641,1,FALSE)</f>
        <v>#N/A</v>
      </c>
      <c r="D557" t="e">
        <f>VLOOKUP(A557,[2]Sheet2!$A:$A,1,FALSE)</f>
        <v>#N/A</v>
      </c>
      <c r="E557" t="e">
        <f>VLOOKUP(A557,[3]cortex!$A:$A,1,FALSE)</f>
        <v>#N/A</v>
      </c>
      <c r="F557" t="e">
        <f>VLOOKUP(A557,[4]liver!$A:$A,1,FALSE)</f>
        <v>#N/A</v>
      </c>
      <c r="H557">
        <f t="shared" si="8"/>
        <v>0</v>
      </c>
    </row>
    <row r="558" spans="1:8" x14ac:dyDescent="0.2">
      <c r="A558" s="1" t="s">
        <v>539</v>
      </c>
      <c r="B558" t="e">
        <f>VLOOKUP(A558,'[1]Table S2'!$B$3:$B$509,1,FALSE)</f>
        <v>#N/A</v>
      </c>
      <c r="C558" t="e">
        <f>VLOOKUP(A558,'[1]Table S5'!$B$3:$B$641,1,FALSE)</f>
        <v>#N/A</v>
      </c>
      <c r="D558" t="e">
        <f>VLOOKUP(A558,[2]Sheet2!$A:$A,1,FALSE)</f>
        <v>#N/A</v>
      </c>
      <c r="E558" t="e">
        <f>VLOOKUP(A558,[3]cortex!$A:$A,1,FALSE)</f>
        <v>#N/A</v>
      </c>
      <c r="F558" t="e">
        <f>VLOOKUP(A558,[4]liver!$A:$A,1,FALSE)</f>
        <v>#N/A</v>
      </c>
      <c r="H558">
        <f t="shared" si="8"/>
        <v>0</v>
      </c>
    </row>
    <row r="559" spans="1:8" x14ac:dyDescent="0.2">
      <c r="A559" s="1" t="s">
        <v>540</v>
      </c>
      <c r="B559" t="e">
        <f>VLOOKUP(A559,'[1]Table S2'!$B$3:$B$509,1,FALSE)</f>
        <v>#N/A</v>
      </c>
      <c r="C559" t="e">
        <f>VLOOKUP(A559,'[1]Table S5'!$B$3:$B$641,1,FALSE)</f>
        <v>#N/A</v>
      </c>
      <c r="D559" t="e">
        <f>VLOOKUP(A559,[2]Sheet2!$A:$A,1,FALSE)</f>
        <v>#N/A</v>
      </c>
      <c r="E559" t="e">
        <f>VLOOKUP(A559,[3]cortex!$A:$A,1,FALSE)</f>
        <v>#N/A</v>
      </c>
      <c r="F559" t="e">
        <f>VLOOKUP(A559,[4]liver!$A:$A,1,FALSE)</f>
        <v>#N/A</v>
      </c>
      <c r="H559">
        <f t="shared" si="8"/>
        <v>0</v>
      </c>
    </row>
    <row r="560" spans="1:8" x14ac:dyDescent="0.2">
      <c r="A560" s="1" t="s">
        <v>541</v>
      </c>
      <c r="B560" t="e">
        <f>VLOOKUP(A560,'[1]Table S2'!$B$3:$B$509,1,FALSE)</f>
        <v>#N/A</v>
      </c>
      <c r="C560" t="e">
        <f>VLOOKUP(A560,'[1]Table S5'!$B$3:$B$641,1,FALSE)</f>
        <v>#N/A</v>
      </c>
      <c r="D560" t="e">
        <f>VLOOKUP(A560,[2]Sheet2!$A:$A,1,FALSE)</f>
        <v>#N/A</v>
      </c>
      <c r="E560" t="e">
        <f>VLOOKUP(A560,[3]cortex!$A:$A,1,FALSE)</f>
        <v>#N/A</v>
      </c>
      <c r="F560" t="e">
        <f>VLOOKUP(A560,[4]liver!$A:$A,1,FALSE)</f>
        <v>#N/A</v>
      </c>
      <c r="H560">
        <f t="shared" si="8"/>
        <v>0</v>
      </c>
    </row>
    <row r="561" spans="1:8" x14ac:dyDescent="0.2">
      <c r="A561" s="1" t="s">
        <v>542</v>
      </c>
      <c r="B561" t="e">
        <f>VLOOKUP(A561,'[1]Table S2'!$B$3:$B$509,1,FALSE)</f>
        <v>#N/A</v>
      </c>
      <c r="C561" t="e">
        <f>VLOOKUP(A561,'[1]Table S5'!$B$3:$B$641,1,FALSE)</f>
        <v>#N/A</v>
      </c>
      <c r="D561" t="e">
        <f>VLOOKUP(A561,[2]Sheet2!$A:$A,1,FALSE)</f>
        <v>#N/A</v>
      </c>
      <c r="E561" t="e">
        <f>VLOOKUP(A561,[3]cortex!$A:$A,1,FALSE)</f>
        <v>#N/A</v>
      </c>
      <c r="F561" t="e">
        <f>VLOOKUP(A561,[4]liver!$A:$A,1,FALSE)</f>
        <v>#N/A</v>
      </c>
      <c r="H561">
        <f t="shared" si="8"/>
        <v>0</v>
      </c>
    </row>
    <row r="562" spans="1:8" x14ac:dyDescent="0.2">
      <c r="A562" s="1" t="s">
        <v>543</v>
      </c>
      <c r="B562" t="e">
        <f>VLOOKUP(A562,'[1]Table S2'!$B$3:$B$509,1,FALSE)</f>
        <v>#N/A</v>
      </c>
      <c r="C562" t="e">
        <f>VLOOKUP(A562,'[1]Table S5'!$B$3:$B$641,1,FALSE)</f>
        <v>#N/A</v>
      </c>
      <c r="D562" t="e">
        <f>VLOOKUP(A562,[2]Sheet2!$A:$A,1,FALSE)</f>
        <v>#N/A</v>
      </c>
      <c r="E562" t="e">
        <f>VLOOKUP(A562,[3]cortex!$A:$A,1,FALSE)</f>
        <v>#N/A</v>
      </c>
      <c r="F562" t="e">
        <f>VLOOKUP(A562,[4]liver!$A:$A,1,FALSE)</f>
        <v>#N/A</v>
      </c>
      <c r="H562">
        <f t="shared" si="8"/>
        <v>0</v>
      </c>
    </row>
    <row r="563" spans="1:8" x14ac:dyDescent="0.2">
      <c r="A563" s="1" t="s">
        <v>544</v>
      </c>
      <c r="B563" t="e">
        <f>VLOOKUP(A563,'[1]Table S2'!$B$3:$B$509,1,FALSE)</f>
        <v>#N/A</v>
      </c>
      <c r="C563" t="e">
        <f>VLOOKUP(A563,'[1]Table S5'!$B$3:$B$641,1,FALSE)</f>
        <v>#N/A</v>
      </c>
      <c r="D563" t="e">
        <f>VLOOKUP(A563,[2]Sheet2!$A:$A,1,FALSE)</f>
        <v>#N/A</v>
      </c>
      <c r="E563" t="e">
        <f>VLOOKUP(A563,[3]cortex!$A:$A,1,FALSE)</f>
        <v>#N/A</v>
      </c>
      <c r="F563" t="e">
        <f>VLOOKUP(A563,[4]liver!$A:$A,1,FALSE)</f>
        <v>#N/A</v>
      </c>
      <c r="H563">
        <f t="shared" si="8"/>
        <v>0</v>
      </c>
    </row>
    <row r="564" spans="1:8" x14ac:dyDescent="0.2">
      <c r="A564" s="1" t="s">
        <v>545</v>
      </c>
      <c r="B564" t="e">
        <f>VLOOKUP(A564,'[1]Table S2'!$B$3:$B$509,1,FALSE)</f>
        <v>#N/A</v>
      </c>
      <c r="C564" t="e">
        <f>VLOOKUP(A564,'[1]Table S5'!$B$3:$B$641,1,FALSE)</f>
        <v>#N/A</v>
      </c>
      <c r="D564" t="e">
        <f>VLOOKUP(A564,[2]Sheet2!$A:$A,1,FALSE)</f>
        <v>#N/A</v>
      </c>
      <c r="E564" t="e">
        <f>VLOOKUP(A564,[3]cortex!$A:$A,1,FALSE)</f>
        <v>#N/A</v>
      </c>
      <c r="F564" t="e">
        <f>VLOOKUP(A564,[4]liver!$A:$A,1,FALSE)</f>
        <v>#N/A</v>
      </c>
      <c r="H564">
        <f t="shared" si="8"/>
        <v>0</v>
      </c>
    </row>
    <row r="565" spans="1:8" x14ac:dyDescent="0.2">
      <c r="A565" s="1" t="s">
        <v>546</v>
      </c>
      <c r="B565" t="e">
        <f>VLOOKUP(A565,'[1]Table S2'!$B$3:$B$509,1,FALSE)</f>
        <v>#N/A</v>
      </c>
      <c r="C565" t="e">
        <f>VLOOKUP(A565,'[1]Table S5'!$B$3:$B$641,1,FALSE)</f>
        <v>#N/A</v>
      </c>
      <c r="D565" t="e">
        <f>VLOOKUP(A565,[2]Sheet2!$A:$A,1,FALSE)</f>
        <v>#N/A</v>
      </c>
      <c r="E565" t="e">
        <f>VLOOKUP(A565,[3]cortex!$A:$A,1,FALSE)</f>
        <v>#N/A</v>
      </c>
      <c r="F565" t="e">
        <f>VLOOKUP(A565,[4]liver!$A:$A,1,FALSE)</f>
        <v>#N/A</v>
      </c>
      <c r="H565">
        <f t="shared" si="8"/>
        <v>0</v>
      </c>
    </row>
    <row r="566" spans="1:8" x14ac:dyDescent="0.2">
      <c r="A566" s="1" t="s">
        <v>547</v>
      </c>
      <c r="B566" t="e">
        <f>VLOOKUP(A566,'[1]Table S2'!$B$3:$B$509,1,FALSE)</f>
        <v>#N/A</v>
      </c>
      <c r="C566" t="e">
        <f>VLOOKUP(A566,'[1]Table S5'!$B$3:$B$641,1,FALSE)</f>
        <v>#N/A</v>
      </c>
      <c r="D566" t="e">
        <f>VLOOKUP(A566,[2]Sheet2!$A:$A,1,FALSE)</f>
        <v>#N/A</v>
      </c>
      <c r="E566" t="e">
        <f>VLOOKUP(A566,[3]cortex!$A:$A,1,FALSE)</f>
        <v>#N/A</v>
      </c>
      <c r="F566" t="e">
        <f>VLOOKUP(A566,[4]liver!$A:$A,1,FALSE)</f>
        <v>#N/A</v>
      </c>
      <c r="H566">
        <f t="shared" si="8"/>
        <v>0</v>
      </c>
    </row>
    <row r="567" spans="1:8" x14ac:dyDescent="0.2">
      <c r="A567" s="1" t="s">
        <v>548</v>
      </c>
      <c r="B567" t="e">
        <f>VLOOKUP(A567,'[1]Table S2'!$B$3:$B$509,1,FALSE)</f>
        <v>#N/A</v>
      </c>
      <c r="C567" t="e">
        <f>VLOOKUP(A567,'[1]Table S5'!$B$3:$B$641,1,FALSE)</f>
        <v>#N/A</v>
      </c>
      <c r="D567" t="e">
        <f>VLOOKUP(A567,[2]Sheet2!$A:$A,1,FALSE)</f>
        <v>#N/A</v>
      </c>
      <c r="E567" t="e">
        <f>VLOOKUP(A567,[3]cortex!$A:$A,1,FALSE)</f>
        <v>#N/A</v>
      </c>
      <c r="F567" t="e">
        <f>VLOOKUP(A567,[4]liver!$A:$A,1,FALSE)</f>
        <v>#N/A</v>
      </c>
      <c r="H567">
        <f t="shared" si="8"/>
        <v>0</v>
      </c>
    </row>
    <row r="568" spans="1:8" x14ac:dyDescent="0.2">
      <c r="A568" s="1" t="s">
        <v>549</v>
      </c>
      <c r="B568" t="e">
        <f>VLOOKUP(A568,'[1]Table S2'!$B$3:$B$509,1,FALSE)</f>
        <v>#N/A</v>
      </c>
      <c r="C568" t="e">
        <f>VLOOKUP(A568,'[1]Table S5'!$B$3:$B$641,1,FALSE)</f>
        <v>#N/A</v>
      </c>
      <c r="D568" t="e">
        <f>VLOOKUP(A568,[2]Sheet2!$A:$A,1,FALSE)</f>
        <v>#N/A</v>
      </c>
      <c r="E568" t="e">
        <f>VLOOKUP(A568,[3]cortex!$A:$A,1,FALSE)</f>
        <v>#N/A</v>
      </c>
      <c r="F568" t="e">
        <f>VLOOKUP(A568,[4]liver!$A:$A,1,FALSE)</f>
        <v>#N/A</v>
      </c>
      <c r="H568">
        <f t="shared" si="8"/>
        <v>0</v>
      </c>
    </row>
    <row r="569" spans="1:8" x14ac:dyDescent="0.2">
      <c r="A569" s="1" t="s">
        <v>550</v>
      </c>
      <c r="B569" t="e">
        <f>VLOOKUP(A569,'[1]Table S2'!$B$3:$B$509,1,FALSE)</f>
        <v>#N/A</v>
      </c>
      <c r="C569" t="e">
        <f>VLOOKUP(A569,'[1]Table S5'!$B$3:$B$641,1,FALSE)</f>
        <v>#N/A</v>
      </c>
      <c r="D569" t="e">
        <f>VLOOKUP(A569,[2]Sheet2!$A:$A,1,FALSE)</f>
        <v>#N/A</v>
      </c>
      <c r="E569" t="e">
        <f>VLOOKUP(A569,[3]cortex!$A:$A,1,FALSE)</f>
        <v>#N/A</v>
      </c>
      <c r="F569" t="e">
        <f>VLOOKUP(A569,[4]liver!$A:$A,1,FALSE)</f>
        <v>#N/A</v>
      </c>
      <c r="H569">
        <f t="shared" si="8"/>
        <v>0</v>
      </c>
    </row>
    <row r="570" spans="1:8" x14ac:dyDescent="0.2">
      <c r="A570" s="1" t="s">
        <v>551</v>
      </c>
      <c r="B570" t="e">
        <f>VLOOKUP(A570,'[1]Table S2'!$B$3:$B$509,1,FALSE)</f>
        <v>#N/A</v>
      </c>
      <c r="C570" t="e">
        <f>VLOOKUP(A570,'[1]Table S5'!$B$3:$B$641,1,FALSE)</f>
        <v>#N/A</v>
      </c>
      <c r="D570" t="e">
        <f>VLOOKUP(A570,[2]Sheet2!$A:$A,1,FALSE)</f>
        <v>#N/A</v>
      </c>
      <c r="E570" t="e">
        <f>VLOOKUP(A570,[3]cortex!$A:$A,1,FALSE)</f>
        <v>#N/A</v>
      </c>
      <c r="F570" t="e">
        <f>VLOOKUP(A570,[4]liver!$A:$A,1,FALSE)</f>
        <v>#N/A</v>
      </c>
      <c r="H570">
        <f t="shared" si="8"/>
        <v>0</v>
      </c>
    </row>
    <row r="571" spans="1:8" x14ac:dyDescent="0.2">
      <c r="A571" s="1" t="s">
        <v>552</v>
      </c>
      <c r="B571" t="e">
        <f>VLOOKUP(A571,'[1]Table S2'!$B$3:$B$509,1,FALSE)</f>
        <v>#N/A</v>
      </c>
      <c r="C571" t="e">
        <f>VLOOKUP(A571,'[1]Table S5'!$B$3:$B$641,1,FALSE)</f>
        <v>#N/A</v>
      </c>
      <c r="D571" t="e">
        <f>VLOOKUP(A571,[2]Sheet2!$A:$A,1,FALSE)</f>
        <v>#N/A</v>
      </c>
      <c r="E571" t="e">
        <f>VLOOKUP(A571,[3]cortex!$A:$A,1,FALSE)</f>
        <v>#N/A</v>
      </c>
      <c r="F571" t="e">
        <f>VLOOKUP(A571,[4]liver!$A:$A,1,FALSE)</f>
        <v>#N/A</v>
      </c>
      <c r="H571">
        <f t="shared" si="8"/>
        <v>0</v>
      </c>
    </row>
    <row r="572" spans="1:8" x14ac:dyDescent="0.2">
      <c r="A572" s="1" t="s">
        <v>553</v>
      </c>
      <c r="B572" t="e">
        <f>VLOOKUP(A572,'[1]Table S2'!$B$3:$B$509,1,FALSE)</f>
        <v>#N/A</v>
      </c>
      <c r="C572" t="e">
        <f>VLOOKUP(A572,'[1]Table S5'!$B$3:$B$641,1,FALSE)</f>
        <v>#N/A</v>
      </c>
      <c r="D572" t="e">
        <f>VLOOKUP(A572,[2]Sheet2!$A:$A,1,FALSE)</f>
        <v>#N/A</v>
      </c>
      <c r="E572" t="e">
        <f>VLOOKUP(A572,[3]cortex!$A:$A,1,FALSE)</f>
        <v>#N/A</v>
      </c>
      <c r="F572" t="e">
        <f>VLOOKUP(A572,[4]liver!$A:$A,1,FALSE)</f>
        <v>#N/A</v>
      </c>
      <c r="H572">
        <f t="shared" si="8"/>
        <v>0</v>
      </c>
    </row>
    <row r="573" spans="1:8" x14ac:dyDescent="0.2">
      <c r="A573" s="1" t="s">
        <v>554</v>
      </c>
      <c r="B573" t="e">
        <f>VLOOKUP(A573,'[1]Table S2'!$B$3:$B$509,1,FALSE)</f>
        <v>#N/A</v>
      </c>
      <c r="C573" t="e">
        <f>VLOOKUP(A573,'[1]Table S5'!$B$3:$B$641,1,FALSE)</f>
        <v>#N/A</v>
      </c>
      <c r="D573" t="e">
        <f>VLOOKUP(A573,[2]Sheet2!$A:$A,1,FALSE)</f>
        <v>#N/A</v>
      </c>
      <c r="E573" t="e">
        <f>VLOOKUP(A573,[3]cortex!$A:$A,1,FALSE)</f>
        <v>#N/A</v>
      </c>
      <c r="F573" t="e">
        <f>VLOOKUP(A573,[4]liver!$A:$A,1,FALSE)</f>
        <v>#N/A</v>
      </c>
      <c r="H573">
        <f t="shared" si="8"/>
        <v>0</v>
      </c>
    </row>
    <row r="574" spans="1:8" x14ac:dyDescent="0.2">
      <c r="A574" s="1" t="s">
        <v>555</v>
      </c>
      <c r="B574" t="e">
        <f>VLOOKUP(A574,'[1]Table S2'!$B$3:$B$509,1,FALSE)</f>
        <v>#N/A</v>
      </c>
      <c r="C574" t="e">
        <f>VLOOKUP(A574,'[1]Table S5'!$B$3:$B$641,1,FALSE)</f>
        <v>#N/A</v>
      </c>
      <c r="D574" t="e">
        <f>VLOOKUP(A574,[2]Sheet2!$A:$A,1,FALSE)</f>
        <v>#N/A</v>
      </c>
      <c r="E574" t="e">
        <f>VLOOKUP(A574,[3]cortex!$A:$A,1,FALSE)</f>
        <v>#N/A</v>
      </c>
      <c r="F574" t="e">
        <f>VLOOKUP(A574,[4]liver!$A:$A,1,FALSE)</f>
        <v>#N/A</v>
      </c>
      <c r="H574">
        <f t="shared" si="8"/>
        <v>0</v>
      </c>
    </row>
    <row r="575" spans="1:8" x14ac:dyDescent="0.2">
      <c r="A575" s="1" t="s">
        <v>556</v>
      </c>
      <c r="B575" t="e">
        <f>VLOOKUP(A575,'[1]Table S2'!$B$3:$B$509,1,FALSE)</f>
        <v>#N/A</v>
      </c>
      <c r="C575" t="e">
        <f>VLOOKUP(A575,'[1]Table S5'!$B$3:$B$641,1,FALSE)</f>
        <v>#N/A</v>
      </c>
      <c r="D575" t="e">
        <f>VLOOKUP(A575,[2]Sheet2!$A:$A,1,FALSE)</f>
        <v>#N/A</v>
      </c>
      <c r="E575" t="e">
        <f>VLOOKUP(A575,[3]cortex!$A:$A,1,FALSE)</f>
        <v>#N/A</v>
      </c>
      <c r="F575" t="e">
        <f>VLOOKUP(A575,[4]liver!$A:$A,1,FALSE)</f>
        <v>#N/A</v>
      </c>
      <c r="H575">
        <f t="shared" si="8"/>
        <v>0</v>
      </c>
    </row>
    <row r="576" spans="1:8" x14ac:dyDescent="0.2">
      <c r="A576" s="1" t="s">
        <v>557</v>
      </c>
      <c r="B576" t="e">
        <f>VLOOKUP(A576,'[1]Table S2'!$B$3:$B$509,1,FALSE)</f>
        <v>#N/A</v>
      </c>
      <c r="C576" t="e">
        <f>VLOOKUP(A576,'[1]Table S5'!$B$3:$B$641,1,FALSE)</f>
        <v>#N/A</v>
      </c>
      <c r="D576" t="e">
        <f>VLOOKUP(A576,[2]Sheet2!$A:$A,1,FALSE)</f>
        <v>#N/A</v>
      </c>
      <c r="E576" t="e">
        <f>VLOOKUP(A576,[3]cortex!$A:$A,1,FALSE)</f>
        <v>#N/A</v>
      </c>
      <c r="F576" t="e">
        <f>VLOOKUP(A576,[4]liver!$A:$A,1,FALSE)</f>
        <v>#N/A</v>
      </c>
      <c r="H576">
        <f t="shared" si="8"/>
        <v>0</v>
      </c>
    </row>
    <row r="577" spans="1:8" x14ac:dyDescent="0.2">
      <c r="A577" s="1" t="s">
        <v>558</v>
      </c>
      <c r="B577" t="e">
        <f>VLOOKUP(A577,'[1]Table S2'!$B$3:$B$509,1,FALSE)</f>
        <v>#N/A</v>
      </c>
      <c r="C577" t="e">
        <f>VLOOKUP(A577,'[1]Table S5'!$B$3:$B$641,1,FALSE)</f>
        <v>#N/A</v>
      </c>
      <c r="D577" t="e">
        <f>VLOOKUP(A577,[2]Sheet2!$A:$A,1,FALSE)</f>
        <v>#N/A</v>
      </c>
      <c r="E577" t="e">
        <f>VLOOKUP(A577,[3]cortex!$A:$A,1,FALSE)</f>
        <v>#N/A</v>
      </c>
      <c r="F577" t="e">
        <f>VLOOKUP(A577,[4]liver!$A:$A,1,FALSE)</f>
        <v>#N/A</v>
      </c>
      <c r="H577">
        <f t="shared" si="8"/>
        <v>0</v>
      </c>
    </row>
    <row r="578" spans="1:8" x14ac:dyDescent="0.2">
      <c r="A578" s="1" t="s">
        <v>559</v>
      </c>
      <c r="B578" t="e">
        <f>VLOOKUP(A578,'[1]Table S2'!$B$3:$B$509,1,FALSE)</f>
        <v>#N/A</v>
      </c>
      <c r="C578" t="e">
        <f>VLOOKUP(A578,'[1]Table S5'!$B$3:$B$641,1,FALSE)</f>
        <v>#N/A</v>
      </c>
      <c r="D578" t="e">
        <f>VLOOKUP(A578,[2]Sheet2!$A:$A,1,FALSE)</f>
        <v>#N/A</v>
      </c>
      <c r="E578" t="e">
        <f>VLOOKUP(A578,[3]cortex!$A:$A,1,FALSE)</f>
        <v>#N/A</v>
      </c>
      <c r="F578" t="e">
        <f>VLOOKUP(A578,[4]liver!$A:$A,1,FALSE)</f>
        <v>#N/A</v>
      </c>
      <c r="H578">
        <f t="shared" ref="H578:H641" si="9">COUNTIF(B578:G578,A578)</f>
        <v>0</v>
      </c>
    </row>
    <row r="579" spans="1:8" x14ac:dyDescent="0.2">
      <c r="A579" s="1" t="s">
        <v>560</v>
      </c>
      <c r="B579" t="e">
        <f>VLOOKUP(A579,'[1]Table S2'!$B$3:$B$509,1,FALSE)</f>
        <v>#N/A</v>
      </c>
      <c r="C579" t="e">
        <f>VLOOKUP(A579,'[1]Table S5'!$B$3:$B$641,1,FALSE)</f>
        <v>#N/A</v>
      </c>
      <c r="D579" t="e">
        <f>VLOOKUP(A579,[2]Sheet2!$A:$A,1,FALSE)</f>
        <v>#N/A</v>
      </c>
      <c r="E579" t="e">
        <f>VLOOKUP(A579,[3]cortex!$A:$A,1,FALSE)</f>
        <v>#N/A</v>
      </c>
      <c r="F579" t="e">
        <f>VLOOKUP(A579,[4]liver!$A:$A,1,FALSE)</f>
        <v>#N/A</v>
      </c>
      <c r="H579">
        <f t="shared" si="9"/>
        <v>0</v>
      </c>
    </row>
    <row r="580" spans="1:8" x14ac:dyDescent="0.2">
      <c r="A580" s="1" t="s">
        <v>561</v>
      </c>
      <c r="B580" t="e">
        <f>VLOOKUP(A580,'[1]Table S2'!$B$3:$B$509,1,FALSE)</f>
        <v>#N/A</v>
      </c>
      <c r="C580" t="e">
        <f>VLOOKUP(A580,'[1]Table S5'!$B$3:$B$641,1,FALSE)</f>
        <v>#N/A</v>
      </c>
      <c r="D580" t="e">
        <f>VLOOKUP(A580,[2]Sheet2!$A:$A,1,FALSE)</f>
        <v>#N/A</v>
      </c>
      <c r="E580" t="e">
        <f>VLOOKUP(A580,[3]cortex!$A:$A,1,FALSE)</f>
        <v>#N/A</v>
      </c>
      <c r="F580" t="e">
        <f>VLOOKUP(A580,[4]liver!$A:$A,1,FALSE)</f>
        <v>#N/A</v>
      </c>
      <c r="H580">
        <f t="shared" si="9"/>
        <v>0</v>
      </c>
    </row>
    <row r="581" spans="1:8" x14ac:dyDescent="0.2">
      <c r="A581" s="1" t="s">
        <v>562</v>
      </c>
      <c r="B581" t="e">
        <f>VLOOKUP(A581,'[1]Table S2'!$B$3:$B$509,1,FALSE)</f>
        <v>#N/A</v>
      </c>
      <c r="C581" t="e">
        <f>VLOOKUP(A581,'[1]Table S5'!$B$3:$B$641,1,FALSE)</f>
        <v>#N/A</v>
      </c>
      <c r="D581" t="e">
        <f>VLOOKUP(A581,[2]Sheet2!$A:$A,1,FALSE)</f>
        <v>#N/A</v>
      </c>
      <c r="E581" t="e">
        <f>VLOOKUP(A581,[3]cortex!$A:$A,1,FALSE)</f>
        <v>#N/A</v>
      </c>
      <c r="F581" t="e">
        <f>VLOOKUP(A581,[4]liver!$A:$A,1,FALSE)</f>
        <v>#N/A</v>
      </c>
      <c r="H581">
        <f t="shared" si="9"/>
        <v>0</v>
      </c>
    </row>
    <row r="582" spans="1:8" x14ac:dyDescent="0.2">
      <c r="A582" s="1" t="s">
        <v>563</v>
      </c>
      <c r="B582" t="e">
        <f>VLOOKUP(A582,'[1]Table S2'!$B$3:$B$509,1,FALSE)</f>
        <v>#N/A</v>
      </c>
      <c r="C582" t="e">
        <f>VLOOKUP(A582,'[1]Table S5'!$B$3:$B$641,1,FALSE)</f>
        <v>#N/A</v>
      </c>
      <c r="D582" t="e">
        <f>VLOOKUP(A582,[2]Sheet2!$A:$A,1,FALSE)</f>
        <v>#N/A</v>
      </c>
      <c r="E582" t="e">
        <f>VLOOKUP(A582,[3]cortex!$A:$A,1,FALSE)</f>
        <v>#N/A</v>
      </c>
      <c r="F582" t="e">
        <f>VLOOKUP(A582,[4]liver!$A:$A,1,FALSE)</f>
        <v>#N/A</v>
      </c>
      <c r="H582">
        <f t="shared" si="9"/>
        <v>0</v>
      </c>
    </row>
    <row r="583" spans="1:8" x14ac:dyDescent="0.2">
      <c r="A583" s="1" t="s">
        <v>564</v>
      </c>
      <c r="B583" t="e">
        <f>VLOOKUP(A583,'[1]Table S2'!$B$3:$B$509,1,FALSE)</f>
        <v>#N/A</v>
      </c>
      <c r="C583" t="e">
        <f>VLOOKUP(A583,'[1]Table S5'!$B$3:$B$641,1,FALSE)</f>
        <v>#N/A</v>
      </c>
      <c r="D583" t="e">
        <f>VLOOKUP(A583,[2]Sheet2!$A:$A,1,FALSE)</f>
        <v>#N/A</v>
      </c>
      <c r="E583" t="e">
        <f>VLOOKUP(A583,[3]cortex!$A:$A,1,FALSE)</f>
        <v>#N/A</v>
      </c>
      <c r="F583" t="e">
        <f>VLOOKUP(A583,[4]liver!$A:$A,1,FALSE)</f>
        <v>#N/A</v>
      </c>
      <c r="H583">
        <f t="shared" si="9"/>
        <v>0</v>
      </c>
    </row>
    <row r="584" spans="1:8" x14ac:dyDescent="0.2">
      <c r="A584" s="1" t="s">
        <v>566</v>
      </c>
      <c r="B584" t="e">
        <f>VLOOKUP(A584,'[1]Table S2'!$B$3:$B$509,1,FALSE)</f>
        <v>#N/A</v>
      </c>
      <c r="C584" t="e">
        <f>VLOOKUP(A584,'[1]Table S5'!$B$3:$B$641,1,FALSE)</f>
        <v>#N/A</v>
      </c>
      <c r="D584" t="e">
        <f>VLOOKUP(A584,[2]Sheet2!$A:$A,1,FALSE)</f>
        <v>#N/A</v>
      </c>
      <c r="E584" t="e">
        <f>VLOOKUP(A584,[3]cortex!$A:$A,1,FALSE)</f>
        <v>#N/A</v>
      </c>
      <c r="F584" t="e">
        <f>VLOOKUP(A584,[4]liver!$A:$A,1,FALSE)</f>
        <v>#N/A</v>
      </c>
      <c r="H584">
        <f t="shared" si="9"/>
        <v>0</v>
      </c>
    </row>
    <row r="585" spans="1:8" x14ac:dyDescent="0.2">
      <c r="A585" s="1" t="s">
        <v>567</v>
      </c>
      <c r="B585" t="e">
        <f>VLOOKUP(A585,'[1]Table S2'!$B$3:$B$509,1,FALSE)</f>
        <v>#N/A</v>
      </c>
      <c r="C585" t="e">
        <f>VLOOKUP(A585,'[1]Table S5'!$B$3:$B$641,1,FALSE)</f>
        <v>#N/A</v>
      </c>
      <c r="D585" t="e">
        <f>VLOOKUP(A585,[2]Sheet2!$A:$A,1,FALSE)</f>
        <v>#N/A</v>
      </c>
      <c r="E585" t="e">
        <f>VLOOKUP(A585,[3]cortex!$A:$A,1,FALSE)</f>
        <v>#N/A</v>
      </c>
      <c r="F585" t="e">
        <f>VLOOKUP(A585,[4]liver!$A:$A,1,FALSE)</f>
        <v>#N/A</v>
      </c>
      <c r="H585">
        <f t="shared" si="9"/>
        <v>0</v>
      </c>
    </row>
    <row r="586" spans="1:8" x14ac:dyDescent="0.2">
      <c r="A586" s="1" t="s">
        <v>568</v>
      </c>
      <c r="B586" t="e">
        <f>VLOOKUP(A586,'[1]Table S2'!$B$3:$B$509,1,FALSE)</f>
        <v>#N/A</v>
      </c>
      <c r="C586" t="e">
        <f>VLOOKUP(A586,'[1]Table S5'!$B$3:$B$641,1,FALSE)</f>
        <v>#N/A</v>
      </c>
      <c r="D586" t="e">
        <f>VLOOKUP(A586,[2]Sheet2!$A:$A,1,FALSE)</f>
        <v>#N/A</v>
      </c>
      <c r="E586" t="e">
        <f>VLOOKUP(A586,[3]cortex!$A:$A,1,FALSE)</f>
        <v>#N/A</v>
      </c>
      <c r="F586" t="e">
        <f>VLOOKUP(A586,[4]liver!$A:$A,1,FALSE)</f>
        <v>#N/A</v>
      </c>
      <c r="H586">
        <f t="shared" si="9"/>
        <v>0</v>
      </c>
    </row>
    <row r="587" spans="1:8" x14ac:dyDescent="0.2">
      <c r="A587" s="1" t="s">
        <v>569</v>
      </c>
      <c r="B587" t="e">
        <f>VLOOKUP(A587,'[1]Table S2'!$B$3:$B$509,1,FALSE)</f>
        <v>#N/A</v>
      </c>
      <c r="C587" t="e">
        <f>VLOOKUP(A587,'[1]Table S5'!$B$3:$B$641,1,FALSE)</f>
        <v>#N/A</v>
      </c>
      <c r="D587" t="e">
        <f>VLOOKUP(A587,[2]Sheet2!$A:$A,1,FALSE)</f>
        <v>#N/A</v>
      </c>
      <c r="E587" t="e">
        <f>VLOOKUP(A587,[3]cortex!$A:$A,1,FALSE)</f>
        <v>#N/A</v>
      </c>
      <c r="F587" t="e">
        <f>VLOOKUP(A587,[4]liver!$A:$A,1,FALSE)</f>
        <v>#N/A</v>
      </c>
      <c r="H587">
        <f t="shared" si="9"/>
        <v>0</v>
      </c>
    </row>
    <row r="588" spans="1:8" x14ac:dyDescent="0.2">
      <c r="A588" s="1" t="s">
        <v>570</v>
      </c>
      <c r="B588" t="e">
        <f>VLOOKUP(A588,'[1]Table S2'!$B$3:$B$509,1,FALSE)</f>
        <v>#N/A</v>
      </c>
      <c r="C588" t="e">
        <f>VLOOKUP(A588,'[1]Table S5'!$B$3:$B$641,1,FALSE)</f>
        <v>#N/A</v>
      </c>
      <c r="D588" t="e">
        <f>VLOOKUP(A588,[2]Sheet2!$A:$A,1,FALSE)</f>
        <v>#N/A</v>
      </c>
      <c r="E588" t="e">
        <f>VLOOKUP(A588,[3]cortex!$A:$A,1,FALSE)</f>
        <v>#N/A</v>
      </c>
      <c r="F588" t="e">
        <f>VLOOKUP(A588,[4]liver!$A:$A,1,FALSE)</f>
        <v>#N/A</v>
      </c>
      <c r="H588">
        <f t="shared" si="9"/>
        <v>0</v>
      </c>
    </row>
    <row r="589" spans="1:8" x14ac:dyDescent="0.2">
      <c r="A589" s="1" t="s">
        <v>571</v>
      </c>
      <c r="B589" t="e">
        <f>VLOOKUP(A589,'[1]Table S2'!$B$3:$B$509,1,FALSE)</f>
        <v>#N/A</v>
      </c>
      <c r="C589" t="e">
        <f>VLOOKUP(A589,'[1]Table S5'!$B$3:$B$641,1,FALSE)</f>
        <v>#N/A</v>
      </c>
      <c r="D589" t="e">
        <f>VLOOKUP(A589,[2]Sheet2!$A:$A,1,FALSE)</f>
        <v>#N/A</v>
      </c>
      <c r="E589" t="e">
        <f>VLOOKUP(A589,[3]cortex!$A:$A,1,FALSE)</f>
        <v>#N/A</v>
      </c>
      <c r="F589" t="e">
        <f>VLOOKUP(A589,[4]liver!$A:$A,1,FALSE)</f>
        <v>#N/A</v>
      </c>
      <c r="H589">
        <f t="shared" si="9"/>
        <v>0</v>
      </c>
    </row>
    <row r="590" spans="1:8" x14ac:dyDescent="0.2">
      <c r="A590" s="1" t="s">
        <v>572</v>
      </c>
      <c r="B590" t="e">
        <f>VLOOKUP(A590,'[1]Table S2'!$B$3:$B$509,1,FALSE)</f>
        <v>#N/A</v>
      </c>
      <c r="C590" t="e">
        <f>VLOOKUP(A590,'[1]Table S5'!$B$3:$B$641,1,FALSE)</f>
        <v>#N/A</v>
      </c>
      <c r="D590" t="e">
        <f>VLOOKUP(A590,[2]Sheet2!$A:$A,1,FALSE)</f>
        <v>#N/A</v>
      </c>
      <c r="E590" t="e">
        <f>VLOOKUP(A590,[3]cortex!$A:$A,1,FALSE)</f>
        <v>#N/A</v>
      </c>
      <c r="F590" t="e">
        <f>VLOOKUP(A590,[4]liver!$A:$A,1,FALSE)</f>
        <v>#N/A</v>
      </c>
      <c r="H590">
        <f t="shared" si="9"/>
        <v>0</v>
      </c>
    </row>
    <row r="591" spans="1:8" x14ac:dyDescent="0.2">
      <c r="A591" s="1" t="s">
        <v>573</v>
      </c>
      <c r="B591" t="e">
        <f>VLOOKUP(A591,'[1]Table S2'!$B$3:$B$509,1,FALSE)</f>
        <v>#N/A</v>
      </c>
      <c r="C591" t="e">
        <f>VLOOKUP(A591,'[1]Table S5'!$B$3:$B$641,1,FALSE)</f>
        <v>#N/A</v>
      </c>
      <c r="D591" t="e">
        <f>VLOOKUP(A591,[2]Sheet2!$A:$A,1,FALSE)</f>
        <v>#N/A</v>
      </c>
      <c r="E591" t="e">
        <f>VLOOKUP(A591,[3]cortex!$A:$A,1,FALSE)</f>
        <v>#N/A</v>
      </c>
      <c r="F591" t="e">
        <f>VLOOKUP(A591,[4]liver!$A:$A,1,FALSE)</f>
        <v>#N/A</v>
      </c>
      <c r="H591">
        <f t="shared" si="9"/>
        <v>0</v>
      </c>
    </row>
    <row r="592" spans="1:8" x14ac:dyDescent="0.2">
      <c r="A592" s="1" t="s">
        <v>574</v>
      </c>
      <c r="B592" t="e">
        <f>VLOOKUP(A592,'[1]Table S2'!$B$3:$B$509,1,FALSE)</f>
        <v>#N/A</v>
      </c>
      <c r="C592" t="e">
        <f>VLOOKUP(A592,'[1]Table S5'!$B$3:$B$641,1,FALSE)</f>
        <v>#N/A</v>
      </c>
      <c r="D592" t="e">
        <f>VLOOKUP(A592,[2]Sheet2!$A:$A,1,FALSE)</f>
        <v>#N/A</v>
      </c>
      <c r="E592" t="e">
        <f>VLOOKUP(A592,[3]cortex!$A:$A,1,FALSE)</f>
        <v>#N/A</v>
      </c>
      <c r="F592" t="e">
        <f>VLOOKUP(A592,[4]liver!$A:$A,1,FALSE)</f>
        <v>#N/A</v>
      </c>
      <c r="H592">
        <f t="shared" si="9"/>
        <v>0</v>
      </c>
    </row>
    <row r="593" spans="1:8" x14ac:dyDescent="0.2">
      <c r="A593" s="1" t="s">
        <v>575</v>
      </c>
      <c r="B593" t="e">
        <f>VLOOKUP(A593,'[1]Table S2'!$B$3:$B$509,1,FALSE)</f>
        <v>#N/A</v>
      </c>
      <c r="C593" t="e">
        <f>VLOOKUP(A593,'[1]Table S5'!$B$3:$B$641,1,FALSE)</f>
        <v>#N/A</v>
      </c>
      <c r="D593" t="e">
        <f>VLOOKUP(A593,[2]Sheet2!$A:$A,1,FALSE)</f>
        <v>#N/A</v>
      </c>
      <c r="E593" t="e">
        <f>VLOOKUP(A593,[3]cortex!$A:$A,1,FALSE)</f>
        <v>#N/A</v>
      </c>
      <c r="F593" t="e">
        <f>VLOOKUP(A593,[4]liver!$A:$A,1,FALSE)</f>
        <v>#N/A</v>
      </c>
      <c r="H593">
        <f t="shared" si="9"/>
        <v>0</v>
      </c>
    </row>
    <row r="594" spans="1:8" x14ac:dyDescent="0.2">
      <c r="A594" s="1" t="s">
        <v>576</v>
      </c>
      <c r="B594" t="e">
        <f>VLOOKUP(A594,'[1]Table S2'!$B$3:$B$509,1,FALSE)</f>
        <v>#N/A</v>
      </c>
      <c r="C594" t="e">
        <f>VLOOKUP(A594,'[1]Table S5'!$B$3:$B$641,1,FALSE)</f>
        <v>#N/A</v>
      </c>
      <c r="D594" t="e">
        <f>VLOOKUP(A594,[2]Sheet2!$A:$A,1,FALSE)</f>
        <v>#N/A</v>
      </c>
      <c r="E594" t="e">
        <f>VLOOKUP(A594,[3]cortex!$A:$A,1,FALSE)</f>
        <v>#N/A</v>
      </c>
      <c r="F594" t="e">
        <f>VLOOKUP(A594,[4]liver!$A:$A,1,FALSE)</f>
        <v>#N/A</v>
      </c>
      <c r="H594">
        <f t="shared" si="9"/>
        <v>0</v>
      </c>
    </row>
    <row r="595" spans="1:8" x14ac:dyDescent="0.2">
      <c r="A595" s="1" t="s">
        <v>577</v>
      </c>
      <c r="B595" t="e">
        <f>VLOOKUP(A595,'[1]Table S2'!$B$3:$B$509,1,FALSE)</f>
        <v>#N/A</v>
      </c>
      <c r="C595" t="e">
        <f>VLOOKUP(A595,'[1]Table S5'!$B$3:$B$641,1,FALSE)</f>
        <v>#N/A</v>
      </c>
      <c r="D595" t="e">
        <f>VLOOKUP(A595,[2]Sheet2!$A:$A,1,FALSE)</f>
        <v>#N/A</v>
      </c>
      <c r="E595" t="e">
        <f>VLOOKUP(A595,[3]cortex!$A:$A,1,FALSE)</f>
        <v>#N/A</v>
      </c>
      <c r="F595" t="e">
        <f>VLOOKUP(A595,[4]liver!$A:$A,1,FALSE)</f>
        <v>#N/A</v>
      </c>
      <c r="H595">
        <f t="shared" si="9"/>
        <v>0</v>
      </c>
    </row>
    <row r="596" spans="1:8" x14ac:dyDescent="0.2">
      <c r="A596" s="1" t="s">
        <v>578</v>
      </c>
      <c r="B596" t="e">
        <f>VLOOKUP(A596,'[1]Table S2'!$B$3:$B$509,1,FALSE)</f>
        <v>#N/A</v>
      </c>
      <c r="C596" t="e">
        <f>VLOOKUP(A596,'[1]Table S5'!$B$3:$B$641,1,FALSE)</f>
        <v>#N/A</v>
      </c>
      <c r="D596" t="e">
        <f>VLOOKUP(A596,[2]Sheet2!$A:$A,1,FALSE)</f>
        <v>#N/A</v>
      </c>
      <c r="E596" t="e">
        <f>VLOOKUP(A596,[3]cortex!$A:$A,1,FALSE)</f>
        <v>#N/A</v>
      </c>
      <c r="F596" t="e">
        <f>VLOOKUP(A596,[4]liver!$A:$A,1,FALSE)</f>
        <v>#N/A</v>
      </c>
      <c r="H596">
        <f t="shared" si="9"/>
        <v>0</v>
      </c>
    </row>
    <row r="597" spans="1:8" x14ac:dyDescent="0.2">
      <c r="A597" s="1" t="s">
        <v>579</v>
      </c>
      <c r="B597" t="e">
        <f>VLOOKUP(A597,'[1]Table S2'!$B$3:$B$509,1,FALSE)</f>
        <v>#N/A</v>
      </c>
      <c r="C597" t="e">
        <f>VLOOKUP(A597,'[1]Table S5'!$B$3:$B$641,1,FALSE)</f>
        <v>#N/A</v>
      </c>
      <c r="D597" t="e">
        <f>VLOOKUP(A597,[2]Sheet2!$A:$A,1,FALSE)</f>
        <v>#N/A</v>
      </c>
      <c r="E597" t="e">
        <f>VLOOKUP(A597,[3]cortex!$A:$A,1,FALSE)</f>
        <v>#N/A</v>
      </c>
      <c r="F597" t="e">
        <f>VLOOKUP(A597,[4]liver!$A:$A,1,FALSE)</f>
        <v>#N/A</v>
      </c>
      <c r="H597">
        <f t="shared" si="9"/>
        <v>0</v>
      </c>
    </row>
    <row r="598" spans="1:8" x14ac:dyDescent="0.2">
      <c r="A598" s="1" t="s">
        <v>580</v>
      </c>
      <c r="B598" t="e">
        <f>VLOOKUP(A598,'[1]Table S2'!$B$3:$B$509,1,FALSE)</f>
        <v>#N/A</v>
      </c>
      <c r="C598" t="e">
        <f>VLOOKUP(A598,'[1]Table S5'!$B$3:$B$641,1,FALSE)</f>
        <v>#N/A</v>
      </c>
      <c r="D598" t="e">
        <f>VLOOKUP(A598,[2]Sheet2!$A:$A,1,FALSE)</f>
        <v>#N/A</v>
      </c>
      <c r="E598" t="e">
        <f>VLOOKUP(A598,[3]cortex!$A:$A,1,FALSE)</f>
        <v>#N/A</v>
      </c>
      <c r="F598" t="e">
        <f>VLOOKUP(A598,[4]liver!$A:$A,1,FALSE)</f>
        <v>#N/A</v>
      </c>
      <c r="H598">
        <f t="shared" si="9"/>
        <v>0</v>
      </c>
    </row>
    <row r="599" spans="1:8" x14ac:dyDescent="0.2">
      <c r="A599" s="1" t="s">
        <v>581</v>
      </c>
      <c r="B599" t="e">
        <f>VLOOKUP(A599,'[1]Table S2'!$B$3:$B$509,1,FALSE)</f>
        <v>#N/A</v>
      </c>
      <c r="C599" t="e">
        <f>VLOOKUP(A599,'[1]Table S5'!$B$3:$B$641,1,FALSE)</f>
        <v>#N/A</v>
      </c>
      <c r="D599" t="e">
        <f>VLOOKUP(A599,[2]Sheet2!$A:$A,1,FALSE)</f>
        <v>#N/A</v>
      </c>
      <c r="E599" t="e">
        <f>VLOOKUP(A599,[3]cortex!$A:$A,1,FALSE)</f>
        <v>#N/A</v>
      </c>
      <c r="F599" t="e">
        <f>VLOOKUP(A599,[4]liver!$A:$A,1,FALSE)</f>
        <v>#N/A</v>
      </c>
      <c r="H599">
        <f t="shared" si="9"/>
        <v>0</v>
      </c>
    </row>
    <row r="600" spans="1:8" x14ac:dyDescent="0.2">
      <c r="A600" s="1" t="s">
        <v>582</v>
      </c>
      <c r="B600" t="e">
        <f>VLOOKUP(A600,'[1]Table S2'!$B$3:$B$509,1,FALSE)</f>
        <v>#N/A</v>
      </c>
      <c r="C600" t="e">
        <f>VLOOKUP(A600,'[1]Table S5'!$B$3:$B$641,1,FALSE)</f>
        <v>#N/A</v>
      </c>
      <c r="D600" t="e">
        <f>VLOOKUP(A600,[2]Sheet2!$A:$A,1,FALSE)</f>
        <v>#N/A</v>
      </c>
      <c r="E600" t="e">
        <f>VLOOKUP(A600,[3]cortex!$A:$A,1,FALSE)</f>
        <v>#N/A</v>
      </c>
      <c r="F600" t="e">
        <f>VLOOKUP(A600,[4]liver!$A:$A,1,FALSE)</f>
        <v>#N/A</v>
      </c>
      <c r="H600">
        <f t="shared" si="9"/>
        <v>0</v>
      </c>
    </row>
    <row r="601" spans="1:8" x14ac:dyDescent="0.2">
      <c r="A601" s="1" t="s">
        <v>583</v>
      </c>
      <c r="B601" t="e">
        <f>VLOOKUP(A601,'[1]Table S2'!$B$3:$B$509,1,FALSE)</f>
        <v>#N/A</v>
      </c>
      <c r="C601" t="e">
        <f>VLOOKUP(A601,'[1]Table S5'!$B$3:$B$641,1,FALSE)</f>
        <v>#N/A</v>
      </c>
      <c r="D601" t="e">
        <f>VLOOKUP(A601,[2]Sheet2!$A:$A,1,FALSE)</f>
        <v>#N/A</v>
      </c>
      <c r="E601" t="e">
        <f>VLOOKUP(A601,[3]cortex!$A:$A,1,FALSE)</f>
        <v>#N/A</v>
      </c>
      <c r="F601" t="e">
        <f>VLOOKUP(A601,[4]liver!$A:$A,1,FALSE)</f>
        <v>#N/A</v>
      </c>
      <c r="H601">
        <f t="shared" si="9"/>
        <v>0</v>
      </c>
    </row>
    <row r="602" spans="1:8" x14ac:dyDescent="0.2">
      <c r="A602" s="1" t="s">
        <v>584</v>
      </c>
      <c r="B602" t="e">
        <f>VLOOKUP(A602,'[1]Table S2'!$B$3:$B$509,1,FALSE)</f>
        <v>#N/A</v>
      </c>
      <c r="C602" t="e">
        <f>VLOOKUP(A602,'[1]Table S5'!$B$3:$B$641,1,FALSE)</f>
        <v>#N/A</v>
      </c>
      <c r="D602" t="e">
        <f>VLOOKUP(A602,[2]Sheet2!$A:$A,1,FALSE)</f>
        <v>#N/A</v>
      </c>
      <c r="E602" t="e">
        <f>VLOOKUP(A602,[3]cortex!$A:$A,1,FALSE)</f>
        <v>#N/A</v>
      </c>
      <c r="F602" t="e">
        <f>VLOOKUP(A602,[4]liver!$A:$A,1,FALSE)</f>
        <v>#N/A</v>
      </c>
      <c r="H602">
        <f t="shared" si="9"/>
        <v>0</v>
      </c>
    </row>
    <row r="603" spans="1:8" x14ac:dyDescent="0.2">
      <c r="A603" s="1" t="s">
        <v>585</v>
      </c>
      <c r="B603" t="e">
        <f>VLOOKUP(A603,'[1]Table S2'!$B$3:$B$509,1,FALSE)</f>
        <v>#N/A</v>
      </c>
      <c r="C603" t="e">
        <f>VLOOKUP(A603,'[1]Table S5'!$B$3:$B$641,1,FALSE)</f>
        <v>#N/A</v>
      </c>
      <c r="D603" t="e">
        <f>VLOOKUP(A603,[2]Sheet2!$A:$A,1,FALSE)</f>
        <v>#N/A</v>
      </c>
      <c r="E603" t="e">
        <f>VLOOKUP(A603,[3]cortex!$A:$A,1,FALSE)</f>
        <v>#N/A</v>
      </c>
      <c r="F603" t="e">
        <f>VLOOKUP(A603,[4]liver!$A:$A,1,FALSE)</f>
        <v>#N/A</v>
      </c>
      <c r="H603">
        <f t="shared" si="9"/>
        <v>0</v>
      </c>
    </row>
    <row r="604" spans="1:8" x14ac:dyDescent="0.2">
      <c r="A604" s="1" t="s">
        <v>586</v>
      </c>
      <c r="B604" t="e">
        <f>VLOOKUP(A604,'[1]Table S2'!$B$3:$B$509,1,FALSE)</f>
        <v>#N/A</v>
      </c>
      <c r="C604" t="e">
        <f>VLOOKUP(A604,'[1]Table S5'!$B$3:$B$641,1,FALSE)</f>
        <v>#N/A</v>
      </c>
      <c r="D604" t="e">
        <f>VLOOKUP(A604,[2]Sheet2!$A:$A,1,FALSE)</f>
        <v>#N/A</v>
      </c>
      <c r="E604" t="e">
        <f>VLOOKUP(A604,[3]cortex!$A:$A,1,FALSE)</f>
        <v>#N/A</v>
      </c>
      <c r="F604" t="e">
        <f>VLOOKUP(A604,[4]liver!$A:$A,1,FALSE)</f>
        <v>#N/A</v>
      </c>
      <c r="H604">
        <f t="shared" si="9"/>
        <v>0</v>
      </c>
    </row>
    <row r="605" spans="1:8" x14ac:dyDescent="0.2">
      <c r="A605" s="1" t="s">
        <v>587</v>
      </c>
      <c r="B605" t="e">
        <f>VLOOKUP(A605,'[1]Table S2'!$B$3:$B$509,1,FALSE)</f>
        <v>#N/A</v>
      </c>
      <c r="C605" t="e">
        <f>VLOOKUP(A605,'[1]Table S5'!$B$3:$B$641,1,FALSE)</f>
        <v>#N/A</v>
      </c>
      <c r="D605" t="e">
        <f>VLOOKUP(A605,[2]Sheet2!$A:$A,1,FALSE)</f>
        <v>#N/A</v>
      </c>
      <c r="E605" t="e">
        <f>VLOOKUP(A605,[3]cortex!$A:$A,1,FALSE)</f>
        <v>#N/A</v>
      </c>
      <c r="F605" t="e">
        <f>VLOOKUP(A605,[4]liver!$A:$A,1,FALSE)</f>
        <v>#N/A</v>
      </c>
      <c r="H605">
        <f t="shared" si="9"/>
        <v>0</v>
      </c>
    </row>
    <row r="606" spans="1:8" x14ac:dyDescent="0.2">
      <c r="A606" s="1" t="s">
        <v>588</v>
      </c>
      <c r="B606" t="e">
        <f>VLOOKUP(A606,'[1]Table S2'!$B$3:$B$509,1,FALSE)</f>
        <v>#N/A</v>
      </c>
      <c r="C606" t="e">
        <f>VLOOKUP(A606,'[1]Table S5'!$B$3:$B$641,1,FALSE)</f>
        <v>#N/A</v>
      </c>
      <c r="D606" t="e">
        <f>VLOOKUP(A606,[2]Sheet2!$A:$A,1,FALSE)</f>
        <v>#N/A</v>
      </c>
      <c r="E606" t="e">
        <f>VLOOKUP(A606,[3]cortex!$A:$A,1,FALSE)</f>
        <v>#N/A</v>
      </c>
      <c r="F606" t="e">
        <f>VLOOKUP(A606,[4]liver!$A:$A,1,FALSE)</f>
        <v>#N/A</v>
      </c>
      <c r="H606">
        <f t="shared" si="9"/>
        <v>0</v>
      </c>
    </row>
    <row r="607" spans="1:8" x14ac:dyDescent="0.2">
      <c r="A607" s="1" t="s">
        <v>589</v>
      </c>
      <c r="B607" t="e">
        <f>VLOOKUP(A607,'[1]Table S2'!$B$3:$B$509,1,FALSE)</f>
        <v>#N/A</v>
      </c>
      <c r="C607" t="e">
        <f>VLOOKUP(A607,'[1]Table S5'!$B$3:$B$641,1,FALSE)</f>
        <v>#N/A</v>
      </c>
      <c r="D607" t="e">
        <f>VLOOKUP(A607,[2]Sheet2!$A:$A,1,FALSE)</f>
        <v>#N/A</v>
      </c>
      <c r="E607" t="e">
        <f>VLOOKUP(A607,[3]cortex!$A:$A,1,FALSE)</f>
        <v>#N/A</v>
      </c>
      <c r="F607" t="e">
        <f>VLOOKUP(A607,[4]liver!$A:$A,1,FALSE)</f>
        <v>#N/A</v>
      </c>
      <c r="H607">
        <f t="shared" si="9"/>
        <v>0</v>
      </c>
    </row>
    <row r="608" spans="1:8" x14ac:dyDescent="0.2">
      <c r="A608" s="1" t="s">
        <v>590</v>
      </c>
      <c r="B608" t="e">
        <f>VLOOKUP(A608,'[1]Table S2'!$B$3:$B$509,1,FALSE)</f>
        <v>#N/A</v>
      </c>
      <c r="C608" t="e">
        <f>VLOOKUP(A608,'[1]Table S5'!$B$3:$B$641,1,FALSE)</f>
        <v>#N/A</v>
      </c>
      <c r="D608" t="e">
        <f>VLOOKUP(A608,[2]Sheet2!$A:$A,1,FALSE)</f>
        <v>#N/A</v>
      </c>
      <c r="E608" t="e">
        <f>VLOOKUP(A608,[3]cortex!$A:$A,1,FALSE)</f>
        <v>#N/A</v>
      </c>
      <c r="F608" t="e">
        <f>VLOOKUP(A608,[4]liver!$A:$A,1,FALSE)</f>
        <v>#N/A</v>
      </c>
      <c r="H608">
        <f t="shared" si="9"/>
        <v>0</v>
      </c>
    </row>
    <row r="609" spans="1:8" x14ac:dyDescent="0.2">
      <c r="A609" s="1" t="s">
        <v>591</v>
      </c>
      <c r="B609" t="e">
        <f>VLOOKUP(A609,'[1]Table S2'!$B$3:$B$509,1,FALSE)</f>
        <v>#N/A</v>
      </c>
      <c r="C609" t="e">
        <f>VLOOKUP(A609,'[1]Table S5'!$B$3:$B$641,1,FALSE)</f>
        <v>#N/A</v>
      </c>
      <c r="D609" t="e">
        <f>VLOOKUP(A609,[2]Sheet2!$A:$A,1,FALSE)</f>
        <v>#N/A</v>
      </c>
      <c r="E609" t="e">
        <f>VLOOKUP(A609,[3]cortex!$A:$A,1,FALSE)</f>
        <v>#N/A</v>
      </c>
      <c r="F609" t="e">
        <f>VLOOKUP(A609,[4]liver!$A:$A,1,FALSE)</f>
        <v>#N/A</v>
      </c>
      <c r="H609">
        <f t="shared" si="9"/>
        <v>0</v>
      </c>
    </row>
    <row r="610" spans="1:8" x14ac:dyDescent="0.2">
      <c r="A610" s="1" t="s">
        <v>592</v>
      </c>
      <c r="B610" t="e">
        <f>VLOOKUP(A610,'[1]Table S2'!$B$3:$B$509,1,FALSE)</f>
        <v>#N/A</v>
      </c>
      <c r="C610" t="e">
        <f>VLOOKUP(A610,'[1]Table S5'!$B$3:$B$641,1,FALSE)</f>
        <v>#N/A</v>
      </c>
      <c r="D610" t="e">
        <f>VLOOKUP(A610,[2]Sheet2!$A:$A,1,FALSE)</f>
        <v>#N/A</v>
      </c>
      <c r="E610" t="e">
        <f>VLOOKUP(A610,[3]cortex!$A:$A,1,FALSE)</f>
        <v>#N/A</v>
      </c>
      <c r="F610" t="e">
        <f>VLOOKUP(A610,[4]liver!$A:$A,1,FALSE)</f>
        <v>#N/A</v>
      </c>
      <c r="H610">
        <f t="shared" si="9"/>
        <v>0</v>
      </c>
    </row>
    <row r="611" spans="1:8" x14ac:dyDescent="0.2">
      <c r="A611" s="1" t="s">
        <v>593</v>
      </c>
      <c r="B611" t="e">
        <f>VLOOKUP(A611,'[1]Table S2'!$B$3:$B$509,1,FALSE)</f>
        <v>#N/A</v>
      </c>
      <c r="C611" t="e">
        <f>VLOOKUP(A611,'[1]Table S5'!$B$3:$B$641,1,FALSE)</f>
        <v>#N/A</v>
      </c>
      <c r="D611" t="e">
        <f>VLOOKUP(A611,[2]Sheet2!$A:$A,1,FALSE)</f>
        <v>#N/A</v>
      </c>
      <c r="E611" t="e">
        <f>VLOOKUP(A611,[3]cortex!$A:$A,1,FALSE)</f>
        <v>#N/A</v>
      </c>
      <c r="F611" t="e">
        <f>VLOOKUP(A611,[4]liver!$A:$A,1,FALSE)</f>
        <v>#N/A</v>
      </c>
      <c r="H611">
        <f t="shared" si="9"/>
        <v>0</v>
      </c>
    </row>
    <row r="612" spans="1:8" x14ac:dyDescent="0.2">
      <c r="A612" s="1" t="s">
        <v>594</v>
      </c>
      <c r="B612" t="e">
        <f>VLOOKUP(A612,'[1]Table S2'!$B$3:$B$509,1,FALSE)</f>
        <v>#N/A</v>
      </c>
      <c r="C612" t="e">
        <f>VLOOKUP(A612,'[1]Table S5'!$B$3:$B$641,1,FALSE)</f>
        <v>#N/A</v>
      </c>
      <c r="D612" t="e">
        <f>VLOOKUP(A612,[2]Sheet2!$A:$A,1,FALSE)</f>
        <v>#N/A</v>
      </c>
      <c r="E612" t="e">
        <f>VLOOKUP(A612,[3]cortex!$A:$A,1,FALSE)</f>
        <v>#N/A</v>
      </c>
      <c r="F612" t="e">
        <f>VLOOKUP(A612,[4]liver!$A:$A,1,FALSE)</f>
        <v>#N/A</v>
      </c>
      <c r="H612">
        <f t="shared" si="9"/>
        <v>0</v>
      </c>
    </row>
    <row r="613" spans="1:8" x14ac:dyDescent="0.2">
      <c r="A613" s="1" t="s">
        <v>595</v>
      </c>
      <c r="B613" t="e">
        <f>VLOOKUP(A613,'[1]Table S2'!$B$3:$B$509,1,FALSE)</f>
        <v>#N/A</v>
      </c>
      <c r="C613" t="e">
        <f>VLOOKUP(A613,'[1]Table S5'!$B$3:$B$641,1,FALSE)</f>
        <v>#N/A</v>
      </c>
      <c r="D613" t="e">
        <f>VLOOKUP(A613,[2]Sheet2!$A:$A,1,FALSE)</f>
        <v>#N/A</v>
      </c>
      <c r="E613" t="e">
        <f>VLOOKUP(A613,[3]cortex!$A:$A,1,FALSE)</f>
        <v>#N/A</v>
      </c>
      <c r="F613" t="e">
        <f>VLOOKUP(A613,[4]liver!$A:$A,1,FALSE)</f>
        <v>#N/A</v>
      </c>
      <c r="H613">
        <f t="shared" si="9"/>
        <v>0</v>
      </c>
    </row>
    <row r="614" spans="1:8" x14ac:dyDescent="0.2">
      <c r="A614" s="1" t="s">
        <v>596</v>
      </c>
      <c r="B614" t="e">
        <f>VLOOKUP(A614,'[1]Table S2'!$B$3:$B$509,1,FALSE)</f>
        <v>#N/A</v>
      </c>
      <c r="C614" t="e">
        <f>VLOOKUP(A614,'[1]Table S5'!$B$3:$B$641,1,FALSE)</f>
        <v>#N/A</v>
      </c>
      <c r="D614" t="e">
        <f>VLOOKUP(A614,[2]Sheet2!$A:$A,1,FALSE)</f>
        <v>#N/A</v>
      </c>
      <c r="E614" t="e">
        <f>VLOOKUP(A614,[3]cortex!$A:$A,1,FALSE)</f>
        <v>#N/A</v>
      </c>
      <c r="F614" t="e">
        <f>VLOOKUP(A614,[4]liver!$A:$A,1,FALSE)</f>
        <v>#N/A</v>
      </c>
      <c r="H614">
        <f t="shared" si="9"/>
        <v>0</v>
      </c>
    </row>
    <row r="615" spans="1:8" x14ac:dyDescent="0.2">
      <c r="A615" s="1" t="s">
        <v>598</v>
      </c>
      <c r="B615" t="e">
        <f>VLOOKUP(A615,'[1]Table S2'!$B$3:$B$509,1,FALSE)</f>
        <v>#N/A</v>
      </c>
      <c r="C615" t="e">
        <f>VLOOKUP(A615,'[1]Table S5'!$B$3:$B$641,1,FALSE)</f>
        <v>#N/A</v>
      </c>
      <c r="D615" t="e">
        <f>VLOOKUP(A615,[2]Sheet2!$A:$A,1,FALSE)</f>
        <v>#N/A</v>
      </c>
      <c r="E615" t="e">
        <f>VLOOKUP(A615,[3]cortex!$A:$A,1,FALSE)</f>
        <v>#N/A</v>
      </c>
      <c r="F615" t="e">
        <f>VLOOKUP(A615,[4]liver!$A:$A,1,FALSE)</f>
        <v>#N/A</v>
      </c>
      <c r="H615">
        <f t="shared" si="9"/>
        <v>0</v>
      </c>
    </row>
    <row r="616" spans="1:8" x14ac:dyDescent="0.2">
      <c r="A616" s="1" t="s">
        <v>599</v>
      </c>
      <c r="B616" t="e">
        <f>VLOOKUP(A616,'[1]Table S2'!$B$3:$B$509,1,FALSE)</f>
        <v>#N/A</v>
      </c>
      <c r="C616" t="e">
        <f>VLOOKUP(A616,'[1]Table S5'!$B$3:$B$641,1,FALSE)</f>
        <v>#N/A</v>
      </c>
      <c r="D616" t="e">
        <f>VLOOKUP(A616,[2]Sheet2!$A:$A,1,FALSE)</f>
        <v>#N/A</v>
      </c>
      <c r="E616" t="e">
        <f>VLOOKUP(A616,[3]cortex!$A:$A,1,FALSE)</f>
        <v>#N/A</v>
      </c>
      <c r="F616" t="e">
        <f>VLOOKUP(A616,[4]liver!$A:$A,1,FALSE)</f>
        <v>#N/A</v>
      </c>
      <c r="H616">
        <f t="shared" si="9"/>
        <v>0</v>
      </c>
    </row>
    <row r="617" spans="1:8" x14ac:dyDescent="0.2">
      <c r="A617" s="1" t="s">
        <v>600</v>
      </c>
      <c r="B617" t="e">
        <f>VLOOKUP(A617,'[1]Table S2'!$B$3:$B$509,1,FALSE)</f>
        <v>#N/A</v>
      </c>
      <c r="C617" t="e">
        <f>VLOOKUP(A617,'[1]Table S5'!$B$3:$B$641,1,FALSE)</f>
        <v>#N/A</v>
      </c>
      <c r="D617" t="e">
        <f>VLOOKUP(A617,[2]Sheet2!$A:$A,1,FALSE)</f>
        <v>#N/A</v>
      </c>
      <c r="E617" t="e">
        <f>VLOOKUP(A617,[3]cortex!$A:$A,1,FALSE)</f>
        <v>#N/A</v>
      </c>
      <c r="F617" t="e">
        <f>VLOOKUP(A617,[4]liver!$A:$A,1,FALSE)</f>
        <v>#N/A</v>
      </c>
      <c r="H617">
        <f t="shared" si="9"/>
        <v>0</v>
      </c>
    </row>
    <row r="618" spans="1:8" x14ac:dyDescent="0.2">
      <c r="A618" s="1" t="s">
        <v>604</v>
      </c>
      <c r="B618" t="e">
        <f>VLOOKUP(A618,'[1]Table S2'!$B$3:$B$509,1,FALSE)</f>
        <v>#N/A</v>
      </c>
      <c r="C618" t="e">
        <f>VLOOKUP(A618,'[1]Table S5'!$B$3:$B$641,1,FALSE)</f>
        <v>#N/A</v>
      </c>
      <c r="D618" t="e">
        <f>VLOOKUP(A618,[2]Sheet2!$A:$A,1,FALSE)</f>
        <v>#N/A</v>
      </c>
      <c r="E618" t="e">
        <f>VLOOKUP(A618,[3]cortex!$A:$A,1,FALSE)</f>
        <v>#N/A</v>
      </c>
      <c r="F618" t="e">
        <f>VLOOKUP(A618,[4]liver!$A:$A,1,FALSE)</f>
        <v>#N/A</v>
      </c>
      <c r="H618">
        <f t="shared" si="9"/>
        <v>0</v>
      </c>
    </row>
    <row r="619" spans="1:8" x14ac:dyDescent="0.2">
      <c r="A619" s="1" t="s">
        <v>605</v>
      </c>
      <c r="B619" t="e">
        <f>VLOOKUP(A619,'[1]Table S2'!$B$3:$B$509,1,FALSE)</f>
        <v>#N/A</v>
      </c>
      <c r="C619" t="e">
        <f>VLOOKUP(A619,'[1]Table S5'!$B$3:$B$641,1,FALSE)</f>
        <v>#N/A</v>
      </c>
      <c r="D619" t="e">
        <f>VLOOKUP(A619,[2]Sheet2!$A:$A,1,FALSE)</f>
        <v>#N/A</v>
      </c>
      <c r="E619" t="e">
        <f>VLOOKUP(A619,[3]cortex!$A:$A,1,FALSE)</f>
        <v>#N/A</v>
      </c>
      <c r="F619" t="e">
        <f>VLOOKUP(A619,[4]liver!$A:$A,1,FALSE)</f>
        <v>#N/A</v>
      </c>
      <c r="H619">
        <f t="shared" si="9"/>
        <v>0</v>
      </c>
    </row>
    <row r="620" spans="1:8" x14ac:dyDescent="0.2">
      <c r="A620" s="1" t="s">
        <v>606</v>
      </c>
      <c r="B620" t="e">
        <f>VLOOKUP(A620,'[1]Table S2'!$B$3:$B$509,1,FALSE)</f>
        <v>#N/A</v>
      </c>
      <c r="C620" t="e">
        <f>VLOOKUP(A620,'[1]Table S5'!$B$3:$B$641,1,FALSE)</f>
        <v>#N/A</v>
      </c>
      <c r="D620" t="e">
        <f>VLOOKUP(A620,[2]Sheet2!$A:$A,1,FALSE)</f>
        <v>#N/A</v>
      </c>
      <c r="E620" t="e">
        <f>VLOOKUP(A620,[3]cortex!$A:$A,1,FALSE)</f>
        <v>#N/A</v>
      </c>
      <c r="F620" t="e">
        <f>VLOOKUP(A620,[4]liver!$A:$A,1,FALSE)</f>
        <v>#N/A</v>
      </c>
      <c r="H620">
        <f t="shared" si="9"/>
        <v>0</v>
      </c>
    </row>
    <row r="621" spans="1:8" x14ac:dyDescent="0.2">
      <c r="A621" s="1" t="s">
        <v>608</v>
      </c>
      <c r="B621" t="e">
        <f>VLOOKUP(A621,'[1]Table S2'!$B$3:$B$509,1,FALSE)</f>
        <v>#N/A</v>
      </c>
      <c r="C621" t="e">
        <f>VLOOKUP(A621,'[1]Table S5'!$B$3:$B$641,1,FALSE)</f>
        <v>#N/A</v>
      </c>
      <c r="D621" t="e">
        <f>VLOOKUP(A621,[2]Sheet2!$A:$A,1,FALSE)</f>
        <v>#N/A</v>
      </c>
      <c r="E621" t="e">
        <f>VLOOKUP(A621,[3]cortex!$A:$A,1,FALSE)</f>
        <v>#N/A</v>
      </c>
      <c r="F621" t="e">
        <f>VLOOKUP(A621,[4]liver!$A:$A,1,FALSE)</f>
        <v>#N/A</v>
      </c>
      <c r="H621">
        <f t="shared" si="9"/>
        <v>0</v>
      </c>
    </row>
    <row r="622" spans="1:8" x14ac:dyDescent="0.2">
      <c r="A622" s="1" t="s">
        <v>609</v>
      </c>
      <c r="B622" t="e">
        <f>VLOOKUP(A622,'[1]Table S2'!$B$3:$B$509,1,FALSE)</f>
        <v>#N/A</v>
      </c>
      <c r="C622" t="e">
        <f>VLOOKUP(A622,'[1]Table S5'!$B$3:$B$641,1,FALSE)</f>
        <v>#N/A</v>
      </c>
      <c r="D622" t="e">
        <f>VLOOKUP(A622,[2]Sheet2!$A:$A,1,FALSE)</f>
        <v>#N/A</v>
      </c>
      <c r="E622" t="e">
        <f>VLOOKUP(A622,[3]cortex!$A:$A,1,FALSE)</f>
        <v>#N/A</v>
      </c>
      <c r="F622" t="e">
        <f>VLOOKUP(A622,[4]liver!$A:$A,1,FALSE)</f>
        <v>#N/A</v>
      </c>
      <c r="H622">
        <f t="shared" si="9"/>
        <v>0</v>
      </c>
    </row>
    <row r="623" spans="1:8" x14ac:dyDescent="0.2">
      <c r="A623" s="1" t="s">
        <v>610</v>
      </c>
      <c r="B623" t="e">
        <f>VLOOKUP(A623,'[1]Table S2'!$B$3:$B$509,1,FALSE)</f>
        <v>#N/A</v>
      </c>
      <c r="C623" t="e">
        <f>VLOOKUP(A623,'[1]Table S5'!$B$3:$B$641,1,FALSE)</f>
        <v>#N/A</v>
      </c>
      <c r="D623" t="e">
        <f>VLOOKUP(A623,[2]Sheet2!$A:$A,1,FALSE)</f>
        <v>#N/A</v>
      </c>
      <c r="E623" t="e">
        <f>VLOOKUP(A623,[3]cortex!$A:$A,1,FALSE)</f>
        <v>#N/A</v>
      </c>
      <c r="F623" t="e">
        <f>VLOOKUP(A623,[4]liver!$A:$A,1,FALSE)</f>
        <v>#N/A</v>
      </c>
      <c r="H623">
        <f t="shared" si="9"/>
        <v>0</v>
      </c>
    </row>
    <row r="624" spans="1:8" x14ac:dyDescent="0.2">
      <c r="A624" s="1" t="s">
        <v>611</v>
      </c>
      <c r="B624" t="e">
        <f>VLOOKUP(A624,'[1]Table S2'!$B$3:$B$509,1,FALSE)</f>
        <v>#N/A</v>
      </c>
      <c r="C624" t="e">
        <f>VLOOKUP(A624,'[1]Table S5'!$B$3:$B$641,1,FALSE)</f>
        <v>#N/A</v>
      </c>
      <c r="D624" t="e">
        <f>VLOOKUP(A624,[2]Sheet2!$A:$A,1,FALSE)</f>
        <v>#N/A</v>
      </c>
      <c r="E624" t="e">
        <f>VLOOKUP(A624,[3]cortex!$A:$A,1,FALSE)</f>
        <v>#N/A</v>
      </c>
      <c r="F624" t="e">
        <f>VLOOKUP(A624,[4]liver!$A:$A,1,FALSE)</f>
        <v>#N/A</v>
      </c>
      <c r="H624">
        <f t="shared" si="9"/>
        <v>0</v>
      </c>
    </row>
    <row r="625" spans="1:8" x14ac:dyDescent="0.2">
      <c r="A625" s="1" t="s">
        <v>612</v>
      </c>
      <c r="B625" t="e">
        <f>VLOOKUP(A625,'[1]Table S2'!$B$3:$B$509,1,FALSE)</f>
        <v>#N/A</v>
      </c>
      <c r="C625" t="e">
        <f>VLOOKUP(A625,'[1]Table S5'!$B$3:$B$641,1,FALSE)</f>
        <v>#N/A</v>
      </c>
      <c r="D625" t="e">
        <f>VLOOKUP(A625,[2]Sheet2!$A:$A,1,FALSE)</f>
        <v>#N/A</v>
      </c>
      <c r="E625" t="e">
        <f>VLOOKUP(A625,[3]cortex!$A:$A,1,FALSE)</f>
        <v>#N/A</v>
      </c>
      <c r="F625" t="e">
        <f>VLOOKUP(A625,[4]liver!$A:$A,1,FALSE)</f>
        <v>#N/A</v>
      </c>
      <c r="H625">
        <f t="shared" si="9"/>
        <v>0</v>
      </c>
    </row>
    <row r="626" spans="1:8" x14ac:dyDescent="0.2">
      <c r="A626" s="1" t="s">
        <v>613</v>
      </c>
      <c r="B626" t="e">
        <f>VLOOKUP(A626,'[1]Table S2'!$B$3:$B$509,1,FALSE)</f>
        <v>#N/A</v>
      </c>
      <c r="C626" t="e">
        <f>VLOOKUP(A626,'[1]Table S5'!$B$3:$B$641,1,FALSE)</f>
        <v>#N/A</v>
      </c>
      <c r="D626" t="e">
        <f>VLOOKUP(A626,[2]Sheet2!$A:$A,1,FALSE)</f>
        <v>#N/A</v>
      </c>
      <c r="E626" t="e">
        <f>VLOOKUP(A626,[3]cortex!$A:$A,1,FALSE)</f>
        <v>#N/A</v>
      </c>
      <c r="F626" t="e">
        <f>VLOOKUP(A626,[4]liver!$A:$A,1,FALSE)</f>
        <v>#N/A</v>
      </c>
      <c r="H626">
        <f t="shared" si="9"/>
        <v>0</v>
      </c>
    </row>
    <row r="627" spans="1:8" x14ac:dyDescent="0.2">
      <c r="A627" s="1" t="s">
        <v>614</v>
      </c>
      <c r="B627" t="e">
        <f>VLOOKUP(A627,'[1]Table S2'!$B$3:$B$509,1,FALSE)</f>
        <v>#N/A</v>
      </c>
      <c r="C627" t="e">
        <f>VLOOKUP(A627,'[1]Table S5'!$B$3:$B$641,1,FALSE)</f>
        <v>#N/A</v>
      </c>
      <c r="D627" t="e">
        <f>VLOOKUP(A627,[2]Sheet2!$A:$A,1,FALSE)</f>
        <v>#N/A</v>
      </c>
      <c r="E627" t="e">
        <f>VLOOKUP(A627,[3]cortex!$A:$A,1,FALSE)</f>
        <v>#N/A</v>
      </c>
      <c r="F627" t="e">
        <f>VLOOKUP(A627,[4]liver!$A:$A,1,FALSE)</f>
        <v>#N/A</v>
      </c>
      <c r="H627">
        <f t="shared" si="9"/>
        <v>0</v>
      </c>
    </row>
    <row r="628" spans="1:8" x14ac:dyDescent="0.2">
      <c r="A628" s="1" t="s">
        <v>615</v>
      </c>
      <c r="B628" t="e">
        <f>VLOOKUP(A628,'[1]Table S2'!$B$3:$B$509,1,FALSE)</f>
        <v>#N/A</v>
      </c>
      <c r="C628" t="e">
        <f>VLOOKUP(A628,'[1]Table S5'!$B$3:$B$641,1,FALSE)</f>
        <v>#N/A</v>
      </c>
      <c r="D628" t="e">
        <f>VLOOKUP(A628,[2]Sheet2!$A:$A,1,FALSE)</f>
        <v>#N/A</v>
      </c>
      <c r="E628" t="e">
        <f>VLOOKUP(A628,[3]cortex!$A:$A,1,FALSE)</f>
        <v>#N/A</v>
      </c>
      <c r="F628" t="e">
        <f>VLOOKUP(A628,[4]liver!$A:$A,1,FALSE)</f>
        <v>#N/A</v>
      </c>
      <c r="H628">
        <f t="shared" si="9"/>
        <v>0</v>
      </c>
    </row>
    <row r="629" spans="1:8" x14ac:dyDescent="0.2">
      <c r="A629" s="1" t="s">
        <v>617</v>
      </c>
      <c r="B629" t="e">
        <f>VLOOKUP(A629,'[1]Table S2'!$B$3:$B$509,1,FALSE)</f>
        <v>#N/A</v>
      </c>
      <c r="C629" t="e">
        <f>VLOOKUP(A629,'[1]Table S5'!$B$3:$B$641,1,FALSE)</f>
        <v>#N/A</v>
      </c>
      <c r="D629" t="e">
        <f>VLOOKUP(A629,[2]Sheet2!$A:$A,1,FALSE)</f>
        <v>#N/A</v>
      </c>
      <c r="E629" t="e">
        <f>VLOOKUP(A629,[3]cortex!$A:$A,1,FALSE)</f>
        <v>#N/A</v>
      </c>
      <c r="F629" t="e">
        <f>VLOOKUP(A629,[4]liver!$A:$A,1,FALSE)</f>
        <v>#N/A</v>
      </c>
      <c r="H629">
        <f t="shared" si="9"/>
        <v>0</v>
      </c>
    </row>
    <row r="630" spans="1:8" x14ac:dyDescent="0.2">
      <c r="A630" s="1" t="s">
        <v>619</v>
      </c>
      <c r="B630" t="e">
        <f>VLOOKUP(A630,'[1]Table S2'!$B$3:$B$509,1,FALSE)</f>
        <v>#N/A</v>
      </c>
      <c r="C630" t="e">
        <f>VLOOKUP(A630,'[1]Table S5'!$B$3:$B$641,1,FALSE)</f>
        <v>#N/A</v>
      </c>
      <c r="D630" t="e">
        <f>VLOOKUP(A630,[2]Sheet2!$A:$A,1,FALSE)</f>
        <v>#N/A</v>
      </c>
      <c r="E630" t="e">
        <f>VLOOKUP(A630,[3]cortex!$A:$A,1,FALSE)</f>
        <v>#N/A</v>
      </c>
      <c r="F630" t="e">
        <f>VLOOKUP(A630,[4]liver!$A:$A,1,FALSE)</f>
        <v>#N/A</v>
      </c>
      <c r="H630">
        <f t="shared" si="9"/>
        <v>0</v>
      </c>
    </row>
    <row r="631" spans="1:8" x14ac:dyDescent="0.2">
      <c r="A631" s="1" t="s">
        <v>620</v>
      </c>
      <c r="B631" t="e">
        <f>VLOOKUP(A631,'[1]Table S2'!$B$3:$B$509,1,FALSE)</f>
        <v>#N/A</v>
      </c>
      <c r="C631" t="e">
        <f>VLOOKUP(A631,'[1]Table S5'!$B$3:$B$641,1,FALSE)</f>
        <v>#N/A</v>
      </c>
      <c r="D631" t="e">
        <f>VLOOKUP(A631,[2]Sheet2!$A:$A,1,FALSE)</f>
        <v>#N/A</v>
      </c>
      <c r="E631" t="e">
        <f>VLOOKUP(A631,[3]cortex!$A:$A,1,FALSE)</f>
        <v>#N/A</v>
      </c>
      <c r="F631" t="e">
        <f>VLOOKUP(A631,[4]liver!$A:$A,1,FALSE)</f>
        <v>#N/A</v>
      </c>
      <c r="H631">
        <f t="shared" si="9"/>
        <v>0</v>
      </c>
    </row>
    <row r="632" spans="1:8" x14ac:dyDescent="0.2">
      <c r="A632" s="1" t="s">
        <v>621</v>
      </c>
      <c r="B632" t="e">
        <f>VLOOKUP(A632,'[1]Table S2'!$B$3:$B$509,1,FALSE)</f>
        <v>#N/A</v>
      </c>
      <c r="C632" t="e">
        <f>VLOOKUP(A632,'[1]Table S5'!$B$3:$B$641,1,FALSE)</f>
        <v>#N/A</v>
      </c>
      <c r="D632" t="e">
        <f>VLOOKUP(A632,[2]Sheet2!$A:$A,1,FALSE)</f>
        <v>#N/A</v>
      </c>
      <c r="E632" t="e">
        <f>VLOOKUP(A632,[3]cortex!$A:$A,1,FALSE)</f>
        <v>#N/A</v>
      </c>
      <c r="F632" t="e">
        <f>VLOOKUP(A632,[4]liver!$A:$A,1,FALSE)</f>
        <v>#N/A</v>
      </c>
      <c r="H632">
        <f t="shared" si="9"/>
        <v>0</v>
      </c>
    </row>
    <row r="633" spans="1:8" x14ac:dyDescent="0.2">
      <c r="A633" s="1" t="s">
        <v>622</v>
      </c>
      <c r="B633" t="e">
        <f>VLOOKUP(A633,'[1]Table S2'!$B$3:$B$509,1,FALSE)</f>
        <v>#N/A</v>
      </c>
      <c r="C633" t="e">
        <f>VLOOKUP(A633,'[1]Table S5'!$B$3:$B$641,1,FALSE)</f>
        <v>#N/A</v>
      </c>
      <c r="D633" t="e">
        <f>VLOOKUP(A633,[2]Sheet2!$A:$A,1,FALSE)</f>
        <v>#N/A</v>
      </c>
      <c r="E633" t="e">
        <f>VLOOKUP(A633,[3]cortex!$A:$A,1,FALSE)</f>
        <v>#N/A</v>
      </c>
      <c r="F633" t="e">
        <f>VLOOKUP(A633,[4]liver!$A:$A,1,FALSE)</f>
        <v>#N/A</v>
      </c>
      <c r="H633">
        <f t="shared" si="9"/>
        <v>0</v>
      </c>
    </row>
    <row r="634" spans="1:8" x14ac:dyDescent="0.2">
      <c r="A634" s="1" t="s">
        <v>623</v>
      </c>
      <c r="B634" t="e">
        <f>VLOOKUP(A634,'[1]Table S2'!$B$3:$B$509,1,FALSE)</f>
        <v>#N/A</v>
      </c>
      <c r="C634" t="e">
        <f>VLOOKUP(A634,'[1]Table S5'!$B$3:$B$641,1,FALSE)</f>
        <v>#N/A</v>
      </c>
      <c r="D634" t="e">
        <f>VLOOKUP(A634,[2]Sheet2!$A:$A,1,FALSE)</f>
        <v>#N/A</v>
      </c>
      <c r="E634" t="e">
        <f>VLOOKUP(A634,[3]cortex!$A:$A,1,FALSE)</f>
        <v>#N/A</v>
      </c>
      <c r="F634" t="e">
        <f>VLOOKUP(A634,[4]liver!$A:$A,1,FALSE)</f>
        <v>#N/A</v>
      </c>
      <c r="H634">
        <f t="shared" si="9"/>
        <v>0</v>
      </c>
    </row>
    <row r="635" spans="1:8" x14ac:dyDescent="0.2">
      <c r="A635" s="1" t="s">
        <v>624</v>
      </c>
      <c r="B635" t="e">
        <f>VLOOKUP(A635,'[1]Table S2'!$B$3:$B$509,1,FALSE)</f>
        <v>#N/A</v>
      </c>
      <c r="C635" t="e">
        <f>VLOOKUP(A635,'[1]Table S5'!$B$3:$B$641,1,FALSE)</f>
        <v>#N/A</v>
      </c>
      <c r="D635" t="e">
        <f>VLOOKUP(A635,[2]Sheet2!$A:$A,1,FALSE)</f>
        <v>#N/A</v>
      </c>
      <c r="E635" t="e">
        <f>VLOOKUP(A635,[3]cortex!$A:$A,1,FALSE)</f>
        <v>#N/A</v>
      </c>
      <c r="F635" t="e">
        <f>VLOOKUP(A635,[4]liver!$A:$A,1,FALSE)</f>
        <v>#N/A</v>
      </c>
      <c r="H635">
        <f t="shared" si="9"/>
        <v>0</v>
      </c>
    </row>
    <row r="636" spans="1:8" x14ac:dyDescent="0.2">
      <c r="A636" s="1" t="s">
        <v>625</v>
      </c>
      <c r="B636" t="e">
        <f>VLOOKUP(A636,'[1]Table S2'!$B$3:$B$509,1,FALSE)</f>
        <v>#N/A</v>
      </c>
      <c r="C636" t="e">
        <f>VLOOKUP(A636,'[1]Table S5'!$B$3:$B$641,1,FALSE)</f>
        <v>#N/A</v>
      </c>
      <c r="D636" t="e">
        <f>VLOOKUP(A636,[2]Sheet2!$A:$A,1,FALSE)</f>
        <v>#N/A</v>
      </c>
      <c r="E636" t="e">
        <f>VLOOKUP(A636,[3]cortex!$A:$A,1,FALSE)</f>
        <v>#N/A</v>
      </c>
      <c r="F636" t="e">
        <f>VLOOKUP(A636,[4]liver!$A:$A,1,FALSE)</f>
        <v>#N/A</v>
      </c>
      <c r="H636">
        <f t="shared" si="9"/>
        <v>0</v>
      </c>
    </row>
    <row r="637" spans="1:8" x14ac:dyDescent="0.2">
      <c r="A637" s="1" t="s">
        <v>626</v>
      </c>
      <c r="B637" t="e">
        <f>VLOOKUP(A637,'[1]Table S2'!$B$3:$B$509,1,FALSE)</f>
        <v>#N/A</v>
      </c>
      <c r="C637" t="e">
        <f>VLOOKUP(A637,'[1]Table S5'!$B$3:$B$641,1,FALSE)</f>
        <v>#N/A</v>
      </c>
      <c r="D637" t="e">
        <f>VLOOKUP(A637,[2]Sheet2!$A:$A,1,FALSE)</f>
        <v>#N/A</v>
      </c>
      <c r="E637" t="e">
        <f>VLOOKUP(A637,[3]cortex!$A:$A,1,FALSE)</f>
        <v>#N/A</v>
      </c>
      <c r="F637" t="e">
        <f>VLOOKUP(A637,[4]liver!$A:$A,1,FALSE)</f>
        <v>#N/A</v>
      </c>
      <c r="H637">
        <f t="shared" si="9"/>
        <v>0</v>
      </c>
    </row>
    <row r="638" spans="1:8" x14ac:dyDescent="0.2">
      <c r="A638" s="1" t="s">
        <v>627</v>
      </c>
      <c r="B638" t="e">
        <f>VLOOKUP(A638,'[1]Table S2'!$B$3:$B$509,1,FALSE)</f>
        <v>#N/A</v>
      </c>
      <c r="C638" t="e">
        <f>VLOOKUP(A638,'[1]Table S5'!$B$3:$B$641,1,FALSE)</f>
        <v>#N/A</v>
      </c>
      <c r="D638" t="e">
        <f>VLOOKUP(A638,[2]Sheet2!$A:$A,1,FALSE)</f>
        <v>#N/A</v>
      </c>
      <c r="E638" t="e">
        <f>VLOOKUP(A638,[3]cortex!$A:$A,1,FALSE)</f>
        <v>#N/A</v>
      </c>
      <c r="F638" t="e">
        <f>VLOOKUP(A638,[4]liver!$A:$A,1,FALSE)</f>
        <v>#N/A</v>
      </c>
      <c r="H638">
        <f t="shared" si="9"/>
        <v>0</v>
      </c>
    </row>
    <row r="639" spans="1:8" x14ac:dyDescent="0.2">
      <c r="A639" s="1" t="s">
        <v>628</v>
      </c>
      <c r="B639" t="e">
        <f>VLOOKUP(A639,'[1]Table S2'!$B$3:$B$509,1,FALSE)</f>
        <v>#N/A</v>
      </c>
      <c r="C639" t="e">
        <f>VLOOKUP(A639,'[1]Table S5'!$B$3:$B$641,1,FALSE)</f>
        <v>#N/A</v>
      </c>
      <c r="D639" t="e">
        <f>VLOOKUP(A639,[2]Sheet2!$A:$A,1,FALSE)</f>
        <v>#N/A</v>
      </c>
      <c r="E639" t="e">
        <f>VLOOKUP(A639,[3]cortex!$A:$A,1,FALSE)</f>
        <v>#N/A</v>
      </c>
      <c r="F639" t="e">
        <f>VLOOKUP(A639,[4]liver!$A:$A,1,FALSE)</f>
        <v>#N/A</v>
      </c>
      <c r="H639">
        <f t="shared" si="9"/>
        <v>0</v>
      </c>
    </row>
    <row r="640" spans="1:8" x14ac:dyDescent="0.2">
      <c r="A640" s="1" t="s">
        <v>629</v>
      </c>
      <c r="B640" t="e">
        <f>VLOOKUP(A640,'[1]Table S2'!$B$3:$B$509,1,FALSE)</f>
        <v>#N/A</v>
      </c>
      <c r="C640" t="e">
        <f>VLOOKUP(A640,'[1]Table S5'!$B$3:$B$641,1,FALSE)</f>
        <v>#N/A</v>
      </c>
      <c r="D640" t="e">
        <f>VLOOKUP(A640,[2]Sheet2!$A:$A,1,FALSE)</f>
        <v>#N/A</v>
      </c>
      <c r="E640" t="e">
        <f>VLOOKUP(A640,[3]cortex!$A:$A,1,FALSE)</f>
        <v>#N/A</v>
      </c>
      <c r="F640" t="e">
        <f>VLOOKUP(A640,[4]liver!$A:$A,1,FALSE)</f>
        <v>#N/A</v>
      </c>
      <c r="H640">
        <f t="shared" si="9"/>
        <v>0</v>
      </c>
    </row>
    <row r="641" spans="1:8" x14ac:dyDescent="0.2">
      <c r="A641" s="1" t="s">
        <v>630</v>
      </c>
      <c r="B641" t="e">
        <f>VLOOKUP(A641,'[1]Table S2'!$B$3:$B$509,1,FALSE)</f>
        <v>#N/A</v>
      </c>
      <c r="C641" t="e">
        <f>VLOOKUP(A641,'[1]Table S5'!$B$3:$B$641,1,FALSE)</f>
        <v>#N/A</v>
      </c>
      <c r="D641" t="e">
        <f>VLOOKUP(A641,[2]Sheet2!$A:$A,1,FALSE)</f>
        <v>#N/A</v>
      </c>
      <c r="E641" t="e">
        <f>VLOOKUP(A641,[3]cortex!$A:$A,1,FALSE)</f>
        <v>#N/A</v>
      </c>
      <c r="F641" t="e">
        <f>VLOOKUP(A641,[4]liver!$A:$A,1,FALSE)</f>
        <v>#N/A</v>
      </c>
      <c r="H641">
        <f t="shared" si="9"/>
        <v>0</v>
      </c>
    </row>
    <row r="642" spans="1:8" x14ac:dyDescent="0.2">
      <c r="A642" s="1" t="s">
        <v>631</v>
      </c>
      <c r="B642" t="e">
        <f>VLOOKUP(A642,'[1]Table S2'!$B$3:$B$509,1,FALSE)</f>
        <v>#N/A</v>
      </c>
      <c r="C642" t="e">
        <f>VLOOKUP(A642,'[1]Table S5'!$B$3:$B$641,1,FALSE)</f>
        <v>#N/A</v>
      </c>
      <c r="D642" t="e">
        <f>VLOOKUP(A642,[2]Sheet2!$A:$A,1,FALSE)</f>
        <v>#N/A</v>
      </c>
      <c r="E642" t="e">
        <f>VLOOKUP(A642,[3]cortex!$A:$A,1,FALSE)</f>
        <v>#N/A</v>
      </c>
      <c r="F642" t="e">
        <f>VLOOKUP(A642,[4]liver!$A:$A,1,FALSE)</f>
        <v>#N/A</v>
      </c>
      <c r="H642">
        <f t="shared" ref="H642:H705" si="10">COUNTIF(B642:G642,A642)</f>
        <v>0</v>
      </c>
    </row>
    <row r="643" spans="1:8" x14ac:dyDescent="0.2">
      <c r="A643" s="1" t="s">
        <v>632</v>
      </c>
      <c r="B643" t="e">
        <f>VLOOKUP(A643,'[1]Table S2'!$B$3:$B$509,1,FALSE)</f>
        <v>#N/A</v>
      </c>
      <c r="C643" t="e">
        <f>VLOOKUP(A643,'[1]Table S5'!$B$3:$B$641,1,FALSE)</f>
        <v>#N/A</v>
      </c>
      <c r="D643" t="e">
        <f>VLOOKUP(A643,[2]Sheet2!$A:$A,1,FALSE)</f>
        <v>#N/A</v>
      </c>
      <c r="E643" t="e">
        <f>VLOOKUP(A643,[3]cortex!$A:$A,1,FALSE)</f>
        <v>#N/A</v>
      </c>
      <c r="F643" t="e">
        <f>VLOOKUP(A643,[4]liver!$A:$A,1,FALSE)</f>
        <v>#N/A</v>
      </c>
      <c r="H643">
        <f t="shared" si="10"/>
        <v>0</v>
      </c>
    </row>
    <row r="644" spans="1:8" x14ac:dyDescent="0.2">
      <c r="A644" s="1" t="s">
        <v>633</v>
      </c>
      <c r="B644" t="e">
        <f>VLOOKUP(A644,'[1]Table S2'!$B$3:$B$509,1,FALSE)</f>
        <v>#N/A</v>
      </c>
      <c r="C644" t="e">
        <f>VLOOKUP(A644,'[1]Table S5'!$B$3:$B$641,1,FALSE)</f>
        <v>#N/A</v>
      </c>
      <c r="D644" t="e">
        <f>VLOOKUP(A644,[2]Sheet2!$A:$A,1,FALSE)</f>
        <v>#N/A</v>
      </c>
      <c r="E644" t="e">
        <f>VLOOKUP(A644,[3]cortex!$A:$A,1,FALSE)</f>
        <v>#N/A</v>
      </c>
      <c r="F644" t="e">
        <f>VLOOKUP(A644,[4]liver!$A:$A,1,FALSE)</f>
        <v>#N/A</v>
      </c>
      <c r="H644">
        <f t="shared" si="10"/>
        <v>0</v>
      </c>
    </row>
    <row r="645" spans="1:8" x14ac:dyDescent="0.2">
      <c r="A645" s="1" t="s">
        <v>634</v>
      </c>
      <c r="B645" t="e">
        <f>VLOOKUP(A645,'[1]Table S2'!$B$3:$B$509,1,FALSE)</f>
        <v>#N/A</v>
      </c>
      <c r="C645" t="e">
        <f>VLOOKUP(A645,'[1]Table S5'!$B$3:$B$641,1,FALSE)</f>
        <v>#N/A</v>
      </c>
      <c r="D645" t="e">
        <f>VLOOKUP(A645,[2]Sheet2!$A:$A,1,FALSE)</f>
        <v>#N/A</v>
      </c>
      <c r="E645" t="e">
        <f>VLOOKUP(A645,[3]cortex!$A:$A,1,FALSE)</f>
        <v>#N/A</v>
      </c>
      <c r="F645" t="e">
        <f>VLOOKUP(A645,[4]liver!$A:$A,1,FALSE)</f>
        <v>#N/A</v>
      </c>
      <c r="H645">
        <f t="shared" si="10"/>
        <v>0</v>
      </c>
    </row>
    <row r="646" spans="1:8" x14ac:dyDescent="0.2">
      <c r="A646" s="1" t="s">
        <v>635</v>
      </c>
      <c r="B646" t="e">
        <f>VLOOKUP(A646,'[1]Table S2'!$B$3:$B$509,1,FALSE)</f>
        <v>#N/A</v>
      </c>
      <c r="C646" t="e">
        <f>VLOOKUP(A646,'[1]Table S5'!$B$3:$B$641,1,FALSE)</f>
        <v>#N/A</v>
      </c>
      <c r="D646" t="e">
        <f>VLOOKUP(A646,[2]Sheet2!$A:$A,1,FALSE)</f>
        <v>#N/A</v>
      </c>
      <c r="E646" t="e">
        <f>VLOOKUP(A646,[3]cortex!$A:$A,1,FALSE)</f>
        <v>#N/A</v>
      </c>
      <c r="F646" t="e">
        <f>VLOOKUP(A646,[4]liver!$A:$A,1,FALSE)</f>
        <v>#N/A</v>
      </c>
      <c r="H646">
        <f t="shared" si="10"/>
        <v>0</v>
      </c>
    </row>
    <row r="647" spans="1:8" x14ac:dyDescent="0.2">
      <c r="A647" s="1" t="s">
        <v>637</v>
      </c>
      <c r="B647" t="e">
        <f>VLOOKUP(A647,'[1]Table S2'!$B$3:$B$509,1,FALSE)</f>
        <v>#N/A</v>
      </c>
      <c r="C647" t="e">
        <f>VLOOKUP(A647,'[1]Table S5'!$B$3:$B$641,1,FALSE)</f>
        <v>#N/A</v>
      </c>
      <c r="D647" t="e">
        <f>VLOOKUP(A647,[2]Sheet2!$A:$A,1,FALSE)</f>
        <v>#N/A</v>
      </c>
      <c r="E647" t="e">
        <f>VLOOKUP(A647,[3]cortex!$A:$A,1,FALSE)</f>
        <v>#N/A</v>
      </c>
      <c r="F647" t="e">
        <f>VLOOKUP(A647,[4]liver!$A:$A,1,FALSE)</f>
        <v>#N/A</v>
      </c>
      <c r="H647">
        <f t="shared" si="10"/>
        <v>0</v>
      </c>
    </row>
    <row r="648" spans="1:8" x14ac:dyDescent="0.2">
      <c r="A648" s="1" t="s">
        <v>638</v>
      </c>
      <c r="B648" t="e">
        <f>VLOOKUP(A648,'[1]Table S2'!$B$3:$B$509,1,FALSE)</f>
        <v>#N/A</v>
      </c>
      <c r="C648" t="e">
        <f>VLOOKUP(A648,'[1]Table S5'!$B$3:$B$641,1,FALSE)</f>
        <v>#N/A</v>
      </c>
      <c r="D648" t="e">
        <f>VLOOKUP(A648,[2]Sheet2!$A:$A,1,FALSE)</f>
        <v>#N/A</v>
      </c>
      <c r="E648" t="e">
        <f>VLOOKUP(A648,[3]cortex!$A:$A,1,FALSE)</f>
        <v>#N/A</v>
      </c>
      <c r="F648" t="e">
        <f>VLOOKUP(A648,[4]liver!$A:$A,1,FALSE)</f>
        <v>#N/A</v>
      </c>
      <c r="H648">
        <f t="shared" si="10"/>
        <v>0</v>
      </c>
    </row>
    <row r="649" spans="1:8" x14ac:dyDescent="0.2">
      <c r="A649" s="1" t="s">
        <v>639</v>
      </c>
      <c r="B649" t="e">
        <f>VLOOKUP(A649,'[1]Table S2'!$B$3:$B$509,1,FALSE)</f>
        <v>#N/A</v>
      </c>
      <c r="C649" t="e">
        <f>VLOOKUP(A649,'[1]Table S5'!$B$3:$B$641,1,FALSE)</f>
        <v>#N/A</v>
      </c>
      <c r="D649" t="e">
        <f>VLOOKUP(A649,[2]Sheet2!$A:$A,1,FALSE)</f>
        <v>#N/A</v>
      </c>
      <c r="E649" t="e">
        <f>VLOOKUP(A649,[3]cortex!$A:$A,1,FALSE)</f>
        <v>#N/A</v>
      </c>
      <c r="F649" t="e">
        <f>VLOOKUP(A649,[4]liver!$A:$A,1,FALSE)</f>
        <v>#N/A</v>
      </c>
      <c r="H649">
        <f t="shared" si="10"/>
        <v>0</v>
      </c>
    </row>
    <row r="650" spans="1:8" x14ac:dyDescent="0.2">
      <c r="A650" s="1" t="s">
        <v>640</v>
      </c>
      <c r="B650" t="e">
        <f>VLOOKUP(A650,'[1]Table S2'!$B$3:$B$509,1,FALSE)</f>
        <v>#N/A</v>
      </c>
      <c r="C650" t="e">
        <f>VLOOKUP(A650,'[1]Table S5'!$B$3:$B$641,1,FALSE)</f>
        <v>#N/A</v>
      </c>
      <c r="D650" t="e">
        <f>VLOOKUP(A650,[2]Sheet2!$A:$A,1,FALSE)</f>
        <v>#N/A</v>
      </c>
      <c r="E650" t="e">
        <f>VLOOKUP(A650,[3]cortex!$A:$A,1,FALSE)</f>
        <v>#N/A</v>
      </c>
      <c r="F650" t="e">
        <f>VLOOKUP(A650,[4]liver!$A:$A,1,FALSE)</f>
        <v>#N/A</v>
      </c>
      <c r="H650">
        <f t="shared" si="10"/>
        <v>0</v>
      </c>
    </row>
    <row r="651" spans="1:8" x14ac:dyDescent="0.2">
      <c r="A651" s="1" t="s">
        <v>641</v>
      </c>
      <c r="B651" t="e">
        <f>VLOOKUP(A651,'[1]Table S2'!$B$3:$B$509,1,FALSE)</f>
        <v>#N/A</v>
      </c>
      <c r="C651" t="e">
        <f>VLOOKUP(A651,'[1]Table S5'!$B$3:$B$641,1,FALSE)</f>
        <v>#N/A</v>
      </c>
      <c r="D651" t="e">
        <f>VLOOKUP(A651,[2]Sheet2!$A:$A,1,FALSE)</f>
        <v>#N/A</v>
      </c>
      <c r="E651" t="e">
        <f>VLOOKUP(A651,[3]cortex!$A:$A,1,FALSE)</f>
        <v>#N/A</v>
      </c>
      <c r="F651" t="e">
        <f>VLOOKUP(A651,[4]liver!$A:$A,1,FALSE)</f>
        <v>#N/A</v>
      </c>
      <c r="H651">
        <f t="shared" si="10"/>
        <v>0</v>
      </c>
    </row>
    <row r="652" spans="1:8" x14ac:dyDescent="0.2">
      <c r="A652" s="1" t="s">
        <v>643</v>
      </c>
      <c r="B652" t="e">
        <f>VLOOKUP(A652,'[1]Table S2'!$B$3:$B$509,1,FALSE)</f>
        <v>#N/A</v>
      </c>
      <c r="C652" t="e">
        <f>VLOOKUP(A652,'[1]Table S5'!$B$3:$B$641,1,FALSE)</f>
        <v>#N/A</v>
      </c>
      <c r="D652" t="e">
        <f>VLOOKUP(A652,[2]Sheet2!$A:$A,1,FALSE)</f>
        <v>#N/A</v>
      </c>
      <c r="E652" t="e">
        <f>VLOOKUP(A652,[3]cortex!$A:$A,1,FALSE)</f>
        <v>#N/A</v>
      </c>
      <c r="F652" t="e">
        <f>VLOOKUP(A652,[4]liver!$A:$A,1,FALSE)</f>
        <v>#N/A</v>
      </c>
      <c r="H652">
        <f t="shared" si="10"/>
        <v>0</v>
      </c>
    </row>
    <row r="653" spans="1:8" x14ac:dyDescent="0.2">
      <c r="A653" s="1" t="s">
        <v>644</v>
      </c>
      <c r="B653" t="e">
        <f>VLOOKUP(A653,'[1]Table S2'!$B$3:$B$509,1,FALSE)</f>
        <v>#N/A</v>
      </c>
      <c r="C653" t="e">
        <f>VLOOKUP(A653,'[1]Table S5'!$B$3:$B$641,1,FALSE)</f>
        <v>#N/A</v>
      </c>
      <c r="D653" t="e">
        <f>VLOOKUP(A653,[2]Sheet2!$A:$A,1,FALSE)</f>
        <v>#N/A</v>
      </c>
      <c r="E653" t="e">
        <f>VLOOKUP(A653,[3]cortex!$A:$A,1,FALSE)</f>
        <v>#N/A</v>
      </c>
      <c r="F653" t="e">
        <f>VLOOKUP(A653,[4]liver!$A:$A,1,FALSE)</f>
        <v>#N/A</v>
      </c>
      <c r="H653">
        <f t="shared" si="10"/>
        <v>0</v>
      </c>
    </row>
    <row r="654" spans="1:8" x14ac:dyDescent="0.2">
      <c r="A654" s="1" t="s">
        <v>645</v>
      </c>
      <c r="B654" t="e">
        <f>VLOOKUP(A654,'[1]Table S2'!$B$3:$B$509,1,FALSE)</f>
        <v>#N/A</v>
      </c>
      <c r="C654" t="e">
        <f>VLOOKUP(A654,'[1]Table S5'!$B$3:$B$641,1,FALSE)</f>
        <v>#N/A</v>
      </c>
      <c r="D654" t="e">
        <f>VLOOKUP(A654,[2]Sheet2!$A:$A,1,FALSE)</f>
        <v>#N/A</v>
      </c>
      <c r="E654" t="e">
        <f>VLOOKUP(A654,[3]cortex!$A:$A,1,FALSE)</f>
        <v>#N/A</v>
      </c>
      <c r="F654" t="e">
        <f>VLOOKUP(A654,[4]liver!$A:$A,1,FALSE)</f>
        <v>#N/A</v>
      </c>
      <c r="H654">
        <f t="shared" si="10"/>
        <v>0</v>
      </c>
    </row>
    <row r="655" spans="1:8" x14ac:dyDescent="0.2">
      <c r="A655" s="1" t="s">
        <v>646</v>
      </c>
      <c r="B655" t="e">
        <f>VLOOKUP(A655,'[1]Table S2'!$B$3:$B$509,1,FALSE)</f>
        <v>#N/A</v>
      </c>
      <c r="C655" t="e">
        <f>VLOOKUP(A655,'[1]Table S5'!$B$3:$B$641,1,FALSE)</f>
        <v>#N/A</v>
      </c>
      <c r="D655" t="e">
        <f>VLOOKUP(A655,[2]Sheet2!$A:$A,1,FALSE)</f>
        <v>#N/A</v>
      </c>
      <c r="E655" t="e">
        <f>VLOOKUP(A655,[3]cortex!$A:$A,1,FALSE)</f>
        <v>#N/A</v>
      </c>
      <c r="F655" t="e">
        <f>VLOOKUP(A655,[4]liver!$A:$A,1,FALSE)</f>
        <v>#N/A</v>
      </c>
      <c r="H655">
        <f t="shared" si="10"/>
        <v>0</v>
      </c>
    </row>
    <row r="656" spans="1:8" x14ac:dyDescent="0.2">
      <c r="A656" s="1" t="s">
        <v>647</v>
      </c>
      <c r="B656" t="e">
        <f>VLOOKUP(A656,'[1]Table S2'!$B$3:$B$509,1,FALSE)</f>
        <v>#N/A</v>
      </c>
      <c r="C656" t="e">
        <f>VLOOKUP(A656,'[1]Table S5'!$B$3:$B$641,1,FALSE)</f>
        <v>#N/A</v>
      </c>
      <c r="D656" t="e">
        <f>VLOOKUP(A656,[2]Sheet2!$A:$A,1,FALSE)</f>
        <v>#N/A</v>
      </c>
      <c r="E656" t="e">
        <f>VLOOKUP(A656,[3]cortex!$A:$A,1,FALSE)</f>
        <v>#N/A</v>
      </c>
      <c r="F656" t="e">
        <f>VLOOKUP(A656,[4]liver!$A:$A,1,FALSE)</f>
        <v>#N/A</v>
      </c>
      <c r="H656">
        <f t="shared" si="10"/>
        <v>0</v>
      </c>
    </row>
    <row r="657" spans="1:8" x14ac:dyDescent="0.2">
      <c r="A657" s="1" t="s">
        <v>648</v>
      </c>
      <c r="B657" t="e">
        <f>VLOOKUP(A657,'[1]Table S2'!$B$3:$B$509,1,FALSE)</f>
        <v>#N/A</v>
      </c>
      <c r="C657" t="e">
        <f>VLOOKUP(A657,'[1]Table S5'!$B$3:$B$641,1,FALSE)</f>
        <v>#N/A</v>
      </c>
      <c r="D657" t="e">
        <f>VLOOKUP(A657,[2]Sheet2!$A:$A,1,FALSE)</f>
        <v>#N/A</v>
      </c>
      <c r="E657" t="e">
        <f>VLOOKUP(A657,[3]cortex!$A:$A,1,FALSE)</f>
        <v>#N/A</v>
      </c>
      <c r="F657" t="e">
        <f>VLOOKUP(A657,[4]liver!$A:$A,1,FALSE)</f>
        <v>#N/A</v>
      </c>
      <c r="H657">
        <f t="shared" si="10"/>
        <v>0</v>
      </c>
    </row>
    <row r="658" spans="1:8" x14ac:dyDescent="0.2">
      <c r="A658" s="1" t="s">
        <v>649</v>
      </c>
      <c r="B658" t="e">
        <f>VLOOKUP(A658,'[1]Table S2'!$B$3:$B$509,1,FALSE)</f>
        <v>#N/A</v>
      </c>
      <c r="C658" t="e">
        <f>VLOOKUP(A658,'[1]Table S5'!$B$3:$B$641,1,FALSE)</f>
        <v>#N/A</v>
      </c>
      <c r="D658" t="e">
        <f>VLOOKUP(A658,[2]Sheet2!$A:$A,1,FALSE)</f>
        <v>#N/A</v>
      </c>
      <c r="E658" t="e">
        <f>VLOOKUP(A658,[3]cortex!$A:$A,1,FALSE)</f>
        <v>#N/A</v>
      </c>
      <c r="F658" t="e">
        <f>VLOOKUP(A658,[4]liver!$A:$A,1,FALSE)</f>
        <v>#N/A</v>
      </c>
      <c r="H658">
        <f t="shared" si="10"/>
        <v>0</v>
      </c>
    </row>
    <row r="659" spans="1:8" x14ac:dyDescent="0.2">
      <c r="A659" s="1" t="s">
        <v>650</v>
      </c>
      <c r="B659" t="e">
        <f>VLOOKUP(A659,'[1]Table S2'!$B$3:$B$509,1,FALSE)</f>
        <v>#N/A</v>
      </c>
      <c r="C659" t="e">
        <f>VLOOKUP(A659,'[1]Table S5'!$B$3:$B$641,1,FALSE)</f>
        <v>#N/A</v>
      </c>
      <c r="D659" t="e">
        <f>VLOOKUP(A659,[2]Sheet2!$A:$A,1,FALSE)</f>
        <v>#N/A</v>
      </c>
      <c r="E659" t="e">
        <f>VLOOKUP(A659,[3]cortex!$A:$A,1,FALSE)</f>
        <v>#N/A</v>
      </c>
      <c r="F659" t="e">
        <f>VLOOKUP(A659,[4]liver!$A:$A,1,FALSE)</f>
        <v>#N/A</v>
      </c>
      <c r="H659">
        <f t="shared" si="10"/>
        <v>0</v>
      </c>
    </row>
    <row r="660" spans="1:8" x14ac:dyDescent="0.2">
      <c r="A660" s="1" t="s">
        <v>651</v>
      </c>
      <c r="B660" t="e">
        <f>VLOOKUP(A660,'[1]Table S2'!$B$3:$B$509,1,FALSE)</f>
        <v>#N/A</v>
      </c>
      <c r="C660" t="e">
        <f>VLOOKUP(A660,'[1]Table S5'!$B$3:$B$641,1,FALSE)</f>
        <v>#N/A</v>
      </c>
      <c r="D660" t="e">
        <f>VLOOKUP(A660,[2]Sheet2!$A:$A,1,FALSE)</f>
        <v>#N/A</v>
      </c>
      <c r="E660" t="e">
        <f>VLOOKUP(A660,[3]cortex!$A:$A,1,FALSE)</f>
        <v>#N/A</v>
      </c>
      <c r="F660" t="e">
        <f>VLOOKUP(A660,[4]liver!$A:$A,1,FALSE)</f>
        <v>#N/A</v>
      </c>
      <c r="H660">
        <f t="shared" si="10"/>
        <v>0</v>
      </c>
    </row>
    <row r="661" spans="1:8" x14ac:dyDescent="0.2">
      <c r="A661" s="1" t="s">
        <v>652</v>
      </c>
      <c r="B661" t="e">
        <f>VLOOKUP(A661,'[1]Table S2'!$B$3:$B$509,1,FALSE)</f>
        <v>#N/A</v>
      </c>
      <c r="C661" t="e">
        <f>VLOOKUP(A661,'[1]Table S5'!$B$3:$B$641,1,FALSE)</f>
        <v>#N/A</v>
      </c>
      <c r="D661" t="e">
        <f>VLOOKUP(A661,[2]Sheet2!$A:$A,1,FALSE)</f>
        <v>#N/A</v>
      </c>
      <c r="E661" t="e">
        <f>VLOOKUP(A661,[3]cortex!$A:$A,1,FALSE)</f>
        <v>#N/A</v>
      </c>
      <c r="F661" t="e">
        <f>VLOOKUP(A661,[4]liver!$A:$A,1,FALSE)</f>
        <v>#N/A</v>
      </c>
      <c r="H661">
        <f t="shared" si="10"/>
        <v>0</v>
      </c>
    </row>
    <row r="662" spans="1:8" x14ac:dyDescent="0.2">
      <c r="A662" s="1" t="s">
        <v>653</v>
      </c>
      <c r="B662" t="e">
        <f>VLOOKUP(A662,'[1]Table S2'!$B$3:$B$509,1,FALSE)</f>
        <v>#N/A</v>
      </c>
      <c r="C662" t="e">
        <f>VLOOKUP(A662,'[1]Table S5'!$B$3:$B$641,1,FALSE)</f>
        <v>#N/A</v>
      </c>
      <c r="D662" t="e">
        <f>VLOOKUP(A662,[2]Sheet2!$A:$A,1,FALSE)</f>
        <v>#N/A</v>
      </c>
      <c r="E662" t="e">
        <f>VLOOKUP(A662,[3]cortex!$A:$A,1,FALSE)</f>
        <v>#N/A</v>
      </c>
      <c r="F662" t="e">
        <f>VLOOKUP(A662,[4]liver!$A:$A,1,FALSE)</f>
        <v>#N/A</v>
      </c>
      <c r="H662">
        <f t="shared" si="10"/>
        <v>0</v>
      </c>
    </row>
    <row r="663" spans="1:8" x14ac:dyDescent="0.2">
      <c r="A663" s="1" t="s">
        <v>654</v>
      </c>
      <c r="B663" t="e">
        <f>VLOOKUP(A663,'[1]Table S2'!$B$3:$B$509,1,FALSE)</f>
        <v>#N/A</v>
      </c>
      <c r="C663" t="e">
        <f>VLOOKUP(A663,'[1]Table S5'!$B$3:$B$641,1,FALSE)</f>
        <v>#N/A</v>
      </c>
      <c r="D663" t="e">
        <f>VLOOKUP(A663,[2]Sheet2!$A:$A,1,FALSE)</f>
        <v>#N/A</v>
      </c>
      <c r="E663" t="e">
        <f>VLOOKUP(A663,[3]cortex!$A:$A,1,FALSE)</f>
        <v>#N/A</v>
      </c>
      <c r="F663" t="e">
        <f>VLOOKUP(A663,[4]liver!$A:$A,1,FALSE)</f>
        <v>#N/A</v>
      </c>
      <c r="H663">
        <f t="shared" si="10"/>
        <v>0</v>
      </c>
    </row>
    <row r="664" spans="1:8" x14ac:dyDescent="0.2">
      <c r="A664" s="1" t="s">
        <v>655</v>
      </c>
      <c r="B664" t="e">
        <f>VLOOKUP(A664,'[1]Table S2'!$B$3:$B$509,1,FALSE)</f>
        <v>#N/A</v>
      </c>
      <c r="C664" t="e">
        <f>VLOOKUP(A664,'[1]Table S5'!$B$3:$B$641,1,FALSE)</f>
        <v>#N/A</v>
      </c>
      <c r="D664" t="e">
        <f>VLOOKUP(A664,[2]Sheet2!$A:$A,1,FALSE)</f>
        <v>#N/A</v>
      </c>
      <c r="E664" t="e">
        <f>VLOOKUP(A664,[3]cortex!$A:$A,1,FALSE)</f>
        <v>#N/A</v>
      </c>
      <c r="F664" t="e">
        <f>VLOOKUP(A664,[4]liver!$A:$A,1,FALSE)</f>
        <v>#N/A</v>
      </c>
      <c r="H664">
        <f t="shared" si="10"/>
        <v>0</v>
      </c>
    </row>
    <row r="665" spans="1:8" x14ac:dyDescent="0.2">
      <c r="A665" s="1" t="s">
        <v>657</v>
      </c>
      <c r="B665" t="e">
        <f>VLOOKUP(A665,'[1]Table S2'!$B$3:$B$509,1,FALSE)</f>
        <v>#N/A</v>
      </c>
      <c r="C665" t="e">
        <f>VLOOKUP(A665,'[1]Table S5'!$B$3:$B$641,1,FALSE)</f>
        <v>#N/A</v>
      </c>
      <c r="D665" t="e">
        <f>VLOOKUP(A665,[2]Sheet2!$A:$A,1,FALSE)</f>
        <v>#N/A</v>
      </c>
      <c r="E665" t="e">
        <f>VLOOKUP(A665,[3]cortex!$A:$A,1,FALSE)</f>
        <v>#N/A</v>
      </c>
      <c r="F665" t="e">
        <f>VLOOKUP(A665,[4]liver!$A:$A,1,FALSE)</f>
        <v>#N/A</v>
      </c>
      <c r="H665">
        <f t="shared" si="10"/>
        <v>0</v>
      </c>
    </row>
    <row r="666" spans="1:8" x14ac:dyDescent="0.2">
      <c r="A666" s="1" t="s">
        <v>658</v>
      </c>
      <c r="B666" t="e">
        <f>VLOOKUP(A666,'[1]Table S2'!$B$3:$B$509,1,FALSE)</f>
        <v>#N/A</v>
      </c>
      <c r="C666" t="e">
        <f>VLOOKUP(A666,'[1]Table S5'!$B$3:$B$641,1,FALSE)</f>
        <v>#N/A</v>
      </c>
      <c r="D666" t="e">
        <f>VLOOKUP(A666,[2]Sheet2!$A:$A,1,FALSE)</f>
        <v>#N/A</v>
      </c>
      <c r="E666" t="e">
        <f>VLOOKUP(A666,[3]cortex!$A:$A,1,FALSE)</f>
        <v>#N/A</v>
      </c>
      <c r="F666" t="e">
        <f>VLOOKUP(A666,[4]liver!$A:$A,1,FALSE)</f>
        <v>#N/A</v>
      </c>
      <c r="H666">
        <f t="shared" si="10"/>
        <v>0</v>
      </c>
    </row>
    <row r="667" spans="1:8" x14ac:dyDescent="0.2">
      <c r="A667" s="1" t="s">
        <v>659</v>
      </c>
      <c r="B667" t="e">
        <f>VLOOKUP(A667,'[1]Table S2'!$B$3:$B$509,1,FALSE)</f>
        <v>#N/A</v>
      </c>
      <c r="C667" t="e">
        <f>VLOOKUP(A667,'[1]Table S5'!$B$3:$B$641,1,FALSE)</f>
        <v>#N/A</v>
      </c>
      <c r="D667" t="e">
        <f>VLOOKUP(A667,[2]Sheet2!$A:$A,1,FALSE)</f>
        <v>#N/A</v>
      </c>
      <c r="E667" t="e">
        <f>VLOOKUP(A667,[3]cortex!$A:$A,1,FALSE)</f>
        <v>#N/A</v>
      </c>
      <c r="F667" t="e">
        <f>VLOOKUP(A667,[4]liver!$A:$A,1,FALSE)</f>
        <v>#N/A</v>
      </c>
      <c r="H667">
        <f t="shared" si="10"/>
        <v>0</v>
      </c>
    </row>
    <row r="668" spans="1:8" x14ac:dyDescent="0.2">
      <c r="A668" s="1" t="s">
        <v>660</v>
      </c>
      <c r="B668" t="e">
        <f>VLOOKUP(A668,'[1]Table S2'!$B$3:$B$509,1,FALSE)</f>
        <v>#N/A</v>
      </c>
      <c r="C668" t="e">
        <f>VLOOKUP(A668,'[1]Table S5'!$B$3:$B$641,1,FALSE)</f>
        <v>#N/A</v>
      </c>
      <c r="D668" t="e">
        <f>VLOOKUP(A668,[2]Sheet2!$A:$A,1,FALSE)</f>
        <v>#N/A</v>
      </c>
      <c r="E668" t="e">
        <f>VLOOKUP(A668,[3]cortex!$A:$A,1,FALSE)</f>
        <v>#N/A</v>
      </c>
      <c r="F668" t="e">
        <f>VLOOKUP(A668,[4]liver!$A:$A,1,FALSE)</f>
        <v>#N/A</v>
      </c>
      <c r="H668">
        <f t="shared" si="10"/>
        <v>0</v>
      </c>
    </row>
    <row r="669" spans="1:8" x14ac:dyDescent="0.2">
      <c r="A669" s="1" t="s">
        <v>661</v>
      </c>
      <c r="B669" t="e">
        <f>VLOOKUP(A669,'[1]Table S2'!$B$3:$B$509,1,FALSE)</f>
        <v>#N/A</v>
      </c>
      <c r="C669" t="e">
        <f>VLOOKUP(A669,'[1]Table S5'!$B$3:$B$641,1,FALSE)</f>
        <v>#N/A</v>
      </c>
      <c r="D669" t="e">
        <f>VLOOKUP(A669,[2]Sheet2!$A:$A,1,FALSE)</f>
        <v>#N/A</v>
      </c>
      <c r="E669" t="e">
        <f>VLOOKUP(A669,[3]cortex!$A:$A,1,FALSE)</f>
        <v>#N/A</v>
      </c>
      <c r="F669" t="e">
        <f>VLOOKUP(A669,[4]liver!$A:$A,1,FALSE)</f>
        <v>#N/A</v>
      </c>
      <c r="H669">
        <f t="shared" si="10"/>
        <v>0</v>
      </c>
    </row>
    <row r="670" spans="1:8" x14ac:dyDescent="0.2">
      <c r="A670" s="1" t="s">
        <v>662</v>
      </c>
      <c r="B670" t="e">
        <f>VLOOKUP(A670,'[1]Table S2'!$B$3:$B$509,1,FALSE)</f>
        <v>#N/A</v>
      </c>
      <c r="C670" t="e">
        <f>VLOOKUP(A670,'[1]Table S5'!$B$3:$B$641,1,FALSE)</f>
        <v>#N/A</v>
      </c>
      <c r="D670" t="e">
        <f>VLOOKUP(A670,[2]Sheet2!$A:$A,1,FALSE)</f>
        <v>#N/A</v>
      </c>
      <c r="E670" t="e">
        <f>VLOOKUP(A670,[3]cortex!$A:$A,1,FALSE)</f>
        <v>#N/A</v>
      </c>
      <c r="F670" t="e">
        <f>VLOOKUP(A670,[4]liver!$A:$A,1,FALSE)</f>
        <v>#N/A</v>
      </c>
      <c r="H670">
        <f t="shared" si="10"/>
        <v>0</v>
      </c>
    </row>
    <row r="671" spans="1:8" x14ac:dyDescent="0.2">
      <c r="A671" s="1" t="s">
        <v>663</v>
      </c>
      <c r="B671" t="e">
        <f>VLOOKUP(A671,'[1]Table S2'!$B$3:$B$509,1,FALSE)</f>
        <v>#N/A</v>
      </c>
      <c r="C671" t="e">
        <f>VLOOKUP(A671,'[1]Table S5'!$B$3:$B$641,1,FALSE)</f>
        <v>#N/A</v>
      </c>
      <c r="D671" t="e">
        <f>VLOOKUP(A671,[2]Sheet2!$A:$A,1,FALSE)</f>
        <v>#N/A</v>
      </c>
      <c r="E671" t="e">
        <f>VLOOKUP(A671,[3]cortex!$A:$A,1,FALSE)</f>
        <v>#N/A</v>
      </c>
      <c r="F671" t="e">
        <f>VLOOKUP(A671,[4]liver!$A:$A,1,FALSE)</f>
        <v>#N/A</v>
      </c>
      <c r="H671">
        <f t="shared" si="10"/>
        <v>0</v>
      </c>
    </row>
    <row r="672" spans="1:8" x14ac:dyDescent="0.2">
      <c r="A672" s="1" t="s">
        <v>664</v>
      </c>
      <c r="B672" t="e">
        <f>VLOOKUP(A672,'[1]Table S2'!$B$3:$B$509,1,FALSE)</f>
        <v>#N/A</v>
      </c>
      <c r="C672" t="e">
        <f>VLOOKUP(A672,'[1]Table S5'!$B$3:$B$641,1,FALSE)</f>
        <v>#N/A</v>
      </c>
      <c r="D672" t="e">
        <f>VLOOKUP(A672,[2]Sheet2!$A:$A,1,FALSE)</f>
        <v>#N/A</v>
      </c>
      <c r="E672" t="e">
        <f>VLOOKUP(A672,[3]cortex!$A:$A,1,FALSE)</f>
        <v>#N/A</v>
      </c>
      <c r="F672" t="e">
        <f>VLOOKUP(A672,[4]liver!$A:$A,1,FALSE)</f>
        <v>#N/A</v>
      </c>
      <c r="H672">
        <f t="shared" si="10"/>
        <v>0</v>
      </c>
    </row>
    <row r="673" spans="1:8" x14ac:dyDescent="0.2">
      <c r="A673" s="1" t="s">
        <v>665</v>
      </c>
      <c r="B673" t="e">
        <f>VLOOKUP(A673,'[1]Table S2'!$B$3:$B$509,1,FALSE)</f>
        <v>#N/A</v>
      </c>
      <c r="C673" t="e">
        <f>VLOOKUP(A673,'[1]Table S5'!$B$3:$B$641,1,FALSE)</f>
        <v>#N/A</v>
      </c>
      <c r="D673" t="e">
        <f>VLOOKUP(A673,[2]Sheet2!$A:$A,1,FALSE)</f>
        <v>#N/A</v>
      </c>
      <c r="E673" t="e">
        <f>VLOOKUP(A673,[3]cortex!$A:$A,1,FALSE)</f>
        <v>#N/A</v>
      </c>
      <c r="F673" t="e">
        <f>VLOOKUP(A673,[4]liver!$A:$A,1,FALSE)</f>
        <v>#N/A</v>
      </c>
      <c r="H673">
        <f t="shared" si="10"/>
        <v>0</v>
      </c>
    </row>
    <row r="674" spans="1:8" x14ac:dyDescent="0.2">
      <c r="A674" s="1" t="s">
        <v>666</v>
      </c>
      <c r="B674" t="e">
        <f>VLOOKUP(A674,'[1]Table S2'!$B$3:$B$509,1,FALSE)</f>
        <v>#N/A</v>
      </c>
      <c r="C674" t="e">
        <f>VLOOKUP(A674,'[1]Table S5'!$B$3:$B$641,1,FALSE)</f>
        <v>#N/A</v>
      </c>
      <c r="D674" t="e">
        <f>VLOOKUP(A674,[2]Sheet2!$A:$A,1,FALSE)</f>
        <v>#N/A</v>
      </c>
      <c r="E674" t="e">
        <f>VLOOKUP(A674,[3]cortex!$A:$A,1,FALSE)</f>
        <v>#N/A</v>
      </c>
      <c r="F674" t="e">
        <f>VLOOKUP(A674,[4]liver!$A:$A,1,FALSE)</f>
        <v>#N/A</v>
      </c>
      <c r="H674">
        <f t="shared" si="10"/>
        <v>0</v>
      </c>
    </row>
    <row r="675" spans="1:8" x14ac:dyDescent="0.2">
      <c r="A675" s="1" t="s">
        <v>667</v>
      </c>
      <c r="B675" t="e">
        <f>VLOOKUP(A675,'[1]Table S2'!$B$3:$B$509,1,FALSE)</f>
        <v>#N/A</v>
      </c>
      <c r="C675" t="e">
        <f>VLOOKUP(A675,'[1]Table S5'!$B$3:$B$641,1,FALSE)</f>
        <v>#N/A</v>
      </c>
      <c r="D675" t="e">
        <f>VLOOKUP(A675,[2]Sheet2!$A:$A,1,FALSE)</f>
        <v>#N/A</v>
      </c>
      <c r="E675" t="e">
        <f>VLOOKUP(A675,[3]cortex!$A:$A,1,FALSE)</f>
        <v>#N/A</v>
      </c>
      <c r="F675" t="e">
        <f>VLOOKUP(A675,[4]liver!$A:$A,1,FALSE)</f>
        <v>#N/A</v>
      </c>
      <c r="H675">
        <f t="shared" si="10"/>
        <v>0</v>
      </c>
    </row>
    <row r="676" spans="1:8" x14ac:dyDescent="0.2">
      <c r="A676" s="1" t="s">
        <v>668</v>
      </c>
      <c r="B676" t="e">
        <f>VLOOKUP(A676,'[1]Table S2'!$B$3:$B$509,1,FALSE)</f>
        <v>#N/A</v>
      </c>
      <c r="C676" t="e">
        <f>VLOOKUP(A676,'[1]Table S5'!$B$3:$B$641,1,FALSE)</f>
        <v>#N/A</v>
      </c>
      <c r="D676" t="e">
        <f>VLOOKUP(A676,[2]Sheet2!$A:$A,1,FALSE)</f>
        <v>#N/A</v>
      </c>
      <c r="E676" t="e">
        <f>VLOOKUP(A676,[3]cortex!$A:$A,1,FALSE)</f>
        <v>#N/A</v>
      </c>
      <c r="F676" t="e">
        <f>VLOOKUP(A676,[4]liver!$A:$A,1,FALSE)</f>
        <v>#N/A</v>
      </c>
      <c r="H676">
        <f t="shared" si="10"/>
        <v>0</v>
      </c>
    </row>
    <row r="677" spans="1:8" x14ac:dyDescent="0.2">
      <c r="A677" s="1" t="s">
        <v>669</v>
      </c>
      <c r="B677" t="e">
        <f>VLOOKUP(A677,'[1]Table S2'!$B$3:$B$509,1,FALSE)</f>
        <v>#N/A</v>
      </c>
      <c r="C677" t="e">
        <f>VLOOKUP(A677,'[1]Table S5'!$B$3:$B$641,1,FALSE)</f>
        <v>#N/A</v>
      </c>
      <c r="D677" t="e">
        <f>VLOOKUP(A677,[2]Sheet2!$A:$A,1,FALSE)</f>
        <v>#N/A</v>
      </c>
      <c r="E677" t="e">
        <f>VLOOKUP(A677,[3]cortex!$A:$A,1,FALSE)</f>
        <v>#N/A</v>
      </c>
      <c r="F677" t="e">
        <f>VLOOKUP(A677,[4]liver!$A:$A,1,FALSE)</f>
        <v>#N/A</v>
      </c>
      <c r="H677">
        <f t="shared" si="10"/>
        <v>0</v>
      </c>
    </row>
    <row r="678" spans="1:8" x14ac:dyDescent="0.2">
      <c r="A678" s="1" t="s">
        <v>670</v>
      </c>
      <c r="B678" t="e">
        <f>VLOOKUP(A678,'[1]Table S2'!$B$3:$B$509,1,FALSE)</f>
        <v>#N/A</v>
      </c>
      <c r="C678" t="e">
        <f>VLOOKUP(A678,'[1]Table S5'!$B$3:$B$641,1,FALSE)</f>
        <v>#N/A</v>
      </c>
      <c r="D678" t="e">
        <f>VLOOKUP(A678,[2]Sheet2!$A:$A,1,FALSE)</f>
        <v>#N/A</v>
      </c>
      <c r="E678" t="e">
        <f>VLOOKUP(A678,[3]cortex!$A:$A,1,FALSE)</f>
        <v>#N/A</v>
      </c>
      <c r="F678" t="e">
        <f>VLOOKUP(A678,[4]liver!$A:$A,1,FALSE)</f>
        <v>#N/A</v>
      </c>
      <c r="H678">
        <f t="shared" si="10"/>
        <v>0</v>
      </c>
    </row>
    <row r="679" spans="1:8" x14ac:dyDescent="0.2">
      <c r="A679" s="1" t="s">
        <v>671</v>
      </c>
      <c r="B679" t="e">
        <f>VLOOKUP(A679,'[1]Table S2'!$B$3:$B$509,1,FALSE)</f>
        <v>#N/A</v>
      </c>
      <c r="C679" t="e">
        <f>VLOOKUP(A679,'[1]Table S5'!$B$3:$B$641,1,FALSE)</f>
        <v>#N/A</v>
      </c>
      <c r="D679" t="e">
        <f>VLOOKUP(A679,[2]Sheet2!$A:$A,1,FALSE)</f>
        <v>#N/A</v>
      </c>
      <c r="E679" t="e">
        <f>VLOOKUP(A679,[3]cortex!$A:$A,1,FALSE)</f>
        <v>#N/A</v>
      </c>
      <c r="F679" t="e">
        <f>VLOOKUP(A679,[4]liver!$A:$A,1,FALSE)</f>
        <v>#N/A</v>
      </c>
      <c r="H679">
        <f t="shared" si="10"/>
        <v>0</v>
      </c>
    </row>
    <row r="680" spans="1:8" x14ac:dyDescent="0.2">
      <c r="A680" s="1" t="s">
        <v>672</v>
      </c>
      <c r="B680" t="e">
        <f>VLOOKUP(A680,'[1]Table S2'!$B$3:$B$509,1,FALSE)</f>
        <v>#N/A</v>
      </c>
      <c r="C680" t="e">
        <f>VLOOKUP(A680,'[1]Table S5'!$B$3:$B$641,1,FALSE)</f>
        <v>#N/A</v>
      </c>
      <c r="D680" t="e">
        <f>VLOOKUP(A680,[2]Sheet2!$A:$A,1,FALSE)</f>
        <v>#N/A</v>
      </c>
      <c r="E680" t="e">
        <f>VLOOKUP(A680,[3]cortex!$A:$A,1,FALSE)</f>
        <v>#N/A</v>
      </c>
      <c r="F680" t="e">
        <f>VLOOKUP(A680,[4]liver!$A:$A,1,FALSE)</f>
        <v>#N/A</v>
      </c>
      <c r="H680">
        <f t="shared" si="10"/>
        <v>0</v>
      </c>
    </row>
    <row r="681" spans="1:8" x14ac:dyDescent="0.2">
      <c r="A681" s="1" t="s">
        <v>673</v>
      </c>
      <c r="B681" t="e">
        <f>VLOOKUP(A681,'[1]Table S2'!$B$3:$B$509,1,FALSE)</f>
        <v>#N/A</v>
      </c>
      <c r="C681" t="e">
        <f>VLOOKUP(A681,'[1]Table S5'!$B$3:$B$641,1,FALSE)</f>
        <v>#N/A</v>
      </c>
      <c r="D681" t="e">
        <f>VLOOKUP(A681,[2]Sheet2!$A:$A,1,FALSE)</f>
        <v>#N/A</v>
      </c>
      <c r="E681" t="e">
        <f>VLOOKUP(A681,[3]cortex!$A:$A,1,FALSE)</f>
        <v>#N/A</v>
      </c>
      <c r="F681" t="e">
        <f>VLOOKUP(A681,[4]liver!$A:$A,1,FALSE)</f>
        <v>#N/A</v>
      </c>
      <c r="H681">
        <f t="shared" si="10"/>
        <v>0</v>
      </c>
    </row>
    <row r="682" spans="1:8" x14ac:dyDescent="0.2">
      <c r="A682" s="1" t="s">
        <v>674</v>
      </c>
      <c r="B682" t="e">
        <f>VLOOKUP(A682,'[1]Table S2'!$B$3:$B$509,1,FALSE)</f>
        <v>#N/A</v>
      </c>
      <c r="C682" t="e">
        <f>VLOOKUP(A682,'[1]Table S5'!$B$3:$B$641,1,FALSE)</f>
        <v>#N/A</v>
      </c>
      <c r="D682" t="e">
        <f>VLOOKUP(A682,[2]Sheet2!$A:$A,1,FALSE)</f>
        <v>#N/A</v>
      </c>
      <c r="E682" t="e">
        <f>VLOOKUP(A682,[3]cortex!$A:$A,1,FALSE)</f>
        <v>#N/A</v>
      </c>
      <c r="F682" t="e">
        <f>VLOOKUP(A682,[4]liver!$A:$A,1,FALSE)</f>
        <v>#N/A</v>
      </c>
      <c r="H682">
        <f t="shared" si="10"/>
        <v>0</v>
      </c>
    </row>
    <row r="683" spans="1:8" x14ac:dyDescent="0.2">
      <c r="A683" s="1" t="s">
        <v>675</v>
      </c>
      <c r="B683" t="e">
        <f>VLOOKUP(A683,'[1]Table S2'!$B$3:$B$509,1,FALSE)</f>
        <v>#N/A</v>
      </c>
      <c r="C683" t="e">
        <f>VLOOKUP(A683,'[1]Table S5'!$B$3:$B$641,1,FALSE)</f>
        <v>#N/A</v>
      </c>
      <c r="D683" t="e">
        <f>VLOOKUP(A683,[2]Sheet2!$A:$A,1,FALSE)</f>
        <v>#N/A</v>
      </c>
      <c r="E683" t="e">
        <f>VLOOKUP(A683,[3]cortex!$A:$A,1,FALSE)</f>
        <v>#N/A</v>
      </c>
      <c r="F683" t="e">
        <f>VLOOKUP(A683,[4]liver!$A:$A,1,FALSE)</f>
        <v>#N/A</v>
      </c>
      <c r="H683">
        <f t="shared" si="10"/>
        <v>0</v>
      </c>
    </row>
    <row r="684" spans="1:8" x14ac:dyDescent="0.2">
      <c r="A684" s="1" t="s">
        <v>676</v>
      </c>
      <c r="B684" t="e">
        <f>VLOOKUP(A684,'[1]Table S2'!$B$3:$B$509,1,FALSE)</f>
        <v>#N/A</v>
      </c>
      <c r="C684" t="e">
        <f>VLOOKUP(A684,'[1]Table S5'!$B$3:$B$641,1,FALSE)</f>
        <v>#N/A</v>
      </c>
      <c r="D684" t="e">
        <f>VLOOKUP(A684,[2]Sheet2!$A:$A,1,FALSE)</f>
        <v>#N/A</v>
      </c>
      <c r="E684" t="e">
        <f>VLOOKUP(A684,[3]cortex!$A:$A,1,FALSE)</f>
        <v>#N/A</v>
      </c>
      <c r="F684" t="e">
        <f>VLOOKUP(A684,[4]liver!$A:$A,1,FALSE)</f>
        <v>#N/A</v>
      </c>
      <c r="H684">
        <f t="shared" si="10"/>
        <v>0</v>
      </c>
    </row>
    <row r="685" spans="1:8" x14ac:dyDescent="0.2">
      <c r="A685" s="1" t="s">
        <v>677</v>
      </c>
      <c r="B685" t="e">
        <f>VLOOKUP(A685,'[1]Table S2'!$B$3:$B$509,1,FALSE)</f>
        <v>#N/A</v>
      </c>
      <c r="C685" t="e">
        <f>VLOOKUP(A685,'[1]Table S5'!$B$3:$B$641,1,FALSE)</f>
        <v>#N/A</v>
      </c>
      <c r="D685" t="e">
        <f>VLOOKUP(A685,[2]Sheet2!$A:$A,1,FALSE)</f>
        <v>#N/A</v>
      </c>
      <c r="E685" t="e">
        <f>VLOOKUP(A685,[3]cortex!$A:$A,1,FALSE)</f>
        <v>#N/A</v>
      </c>
      <c r="F685" t="e">
        <f>VLOOKUP(A685,[4]liver!$A:$A,1,FALSE)</f>
        <v>#N/A</v>
      </c>
      <c r="H685">
        <f t="shared" si="10"/>
        <v>0</v>
      </c>
    </row>
    <row r="686" spans="1:8" x14ac:dyDescent="0.2">
      <c r="A686" s="1" t="s">
        <v>678</v>
      </c>
      <c r="B686" t="e">
        <f>VLOOKUP(A686,'[1]Table S2'!$B$3:$B$509,1,FALSE)</f>
        <v>#N/A</v>
      </c>
      <c r="C686" t="e">
        <f>VLOOKUP(A686,'[1]Table S5'!$B$3:$B$641,1,FALSE)</f>
        <v>#N/A</v>
      </c>
      <c r="D686" t="e">
        <f>VLOOKUP(A686,[2]Sheet2!$A:$A,1,FALSE)</f>
        <v>#N/A</v>
      </c>
      <c r="E686" t="e">
        <f>VLOOKUP(A686,[3]cortex!$A:$A,1,FALSE)</f>
        <v>#N/A</v>
      </c>
      <c r="F686" t="e">
        <f>VLOOKUP(A686,[4]liver!$A:$A,1,FALSE)</f>
        <v>#N/A</v>
      </c>
      <c r="H686">
        <f t="shared" si="10"/>
        <v>0</v>
      </c>
    </row>
    <row r="687" spans="1:8" x14ac:dyDescent="0.2">
      <c r="A687" s="1" t="s">
        <v>679</v>
      </c>
      <c r="B687" t="e">
        <f>VLOOKUP(A687,'[1]Table S2'!$B$3:$B$509,1,FALSE)</f>
        <v>#N/A</v>
      </c>
      <c r="C687" t="e">
        <f>VLOOKUP(A687,'[1]Table S5'!$B$3:$B$641,1,FALSE)</f>
        <v>#N/A</v>
      </c>
      <c r="D687" t="e">
        <f>VLOOKUP(A687,[2]Sheet2!$A:$A,1,FALSE)</f>
        <v>#N/A</v>
      </c>
      <c r="E687" t="e">
        <f>VLOOKUP(A687,[3]cortex!$A:$A,1,FALSE)</f>
        <v>#N/A</v>
      </c>
      <c r="F687" t="e">
        <f>VLOOKUP(A687,[4]liver!$A:$A,1,FALSE)</f>
        <v>#N/A</v>
      </c>
      <c r="H687">
        <f t="shared" si="10"/>
        <v>0</v>
      </c>
    </row>
    <row r="688" spans="1:8" x14ac:dyDescent="0.2">
      <c r="A688" s="1" t="s">
        <v>680</v>
      </c>
      <c r="B688" t="e">
        <f>VLOOKUP(A688,'[1]Table S2'!$B$3:$B$509,1,FALSE)</f>
        <v>#N/A</v>
      </c>
      <c r="C688" t="e">
        <f>VLOOKUP(A688,'[1]Table S5'!$B$3:$B$641,1,FALSE)</f>
        <v>#N/A</v>
      </c>
      <c r="D688" t="e">
        <f>VLOOKUP(A688,[2]Sheet2!$A:$A,1,FALSE)</f>
        <v>#N/A</v>
      </c>
      <c r="E688" t="e">
        <f>VLOOKUP(A688,[3]cortex!$A:$A,1,FALSE)</f>
        <v>#N/A</v>
      </c>
      <c r="F688" t="e">
        <f>VLOOKUP(A688,[4]liver!$A:$A,1,FALSE)</f>
        <v>#N/A</v>
      </c>
      <c r="H688">
        <f t="shared" si="10"/>
        <v>0</v>
      </c>
    </row>
    <row r="689" spans="1:8" x14ac:dyDescent="0.2">
      <c r="A689" s="1" t="s">
        <v>681</v>
      </c>
      <c r="B689" t="e">
        <f>VLOOKUP(A689,'[1]Table S2'!$B$3:$B$509,1,FALSE)</f>
        <v>#N/A</v>
      </c>
      <c r="C689" t="e">
        <f>VLOOKUP(A689,'[1]Table S5'!$B$3:$B$641,1,FALSE)</f>
        <v>#N/A</v>
      </c>
      <c r="D689" t="e">
        <f>VLOOKUP(A689,[2]Sheet2!$A:$A,1,FALSE)</f>
        <v>#N/A</v>
      </c>
      <c r="E689" t="e">
        <f>VLOOKUP(A689,[3]cortex!$A:$A,1,FALSE)</f>
        <v>#N/A</v>
      </c>
      <c r="F689" t="e">
        <f>VLOOKUP(A689,[4]liver!$A:$A,1,FALSE)</f>
        <v>#N/A</v>
      </c>
      <c r="H689">
        <f t="shared" si="10"/>
        <v>0</v>
      </c>
    </row>
    <row r="690" spans="1:8" x14ac:dyDescent="0.2">
      <c r="A690" s="1" t="s">
        <v>682</v>
      </c>
      <c r="B690" t="e">
        <f>VLOOKUP(A690,'[1]Table S2'!$B$3:$B$509,1,FALSE)</f>
        <v>#N/A</v>
      </c>
      <c r="C690" t="e">
        <f>VLOOKUP(A690,'[1]Table S5'!$B$3:$B$641,1,FALSE)</f>
        <v>#N/A</v>
      </c>
      <c r="D690" t="e">
        <f>VLOOKUP(A690,[2]Sheet2!$A:$A,1,FALSE)</f>
        <v>#N/A</v>
      </c>
      <c r="E690" t="e">
        <f>VLOOKUP(A690,[3]cortex!$A:$A,1,FALSE)</f>
        <v>#N/A</v>
      </c>
      <c r="F690" t="e">
        <f>VLOOKUP(A690,[4]liver!$A:$A,1,FALSE)</f>
        <v>#N/A</v>
      </c>
      <c r="H690">
        <f t="shared" si="10"/>
        <v>0</v>
      </c>
    </row>
    <row r="691" spans="1:8" x14ac:dyDescent="0.2">
      <c r="A691" s="1" t="s">
        <v>683</v>
      </c>
      <c r="B691" t="e">
        <f>VLOOKUP(A691,'[1]Table S2'!$B$3:$B$509,1,FALSE)</f>
        <v>#N/A</v>
      </c>
      <c r="C691" t="e">
        <f>VLOOKUP(A691,'[1]Table S5'!$B$3:$B$641,1,FALSE)</f>
        <v>#N/A</v>
      </c>
      <c r="D691" t="e">
        <f>VLOOKUP(A691,[2]Sheet2!$A:$A,1,FALSE)</f>
        <v>#N/A</v>
      </c>
      <c r="E691" t="e">
        <f>VLOOKUP(A691,[3]cortex!$A:$A,1,FALSE)</f>
        <v>#N/A</v>
      </c>
      <c r="F691" t="e">
        <f>VLOOKUP(A691,[4]liver!$A:$A,1,FALSE)</f>
        <v>#N/A</v>
      </c>
      <c r="H691">
        <f t="shared" si="10"/>
        <v>0</v>
      </c>
    </row>
    <row r="692" spans="1:8" x14ac:dyDescent="0.2">
      <c r="A692" s="1" t="s">
        <v>684</v>
      </c>
      <c r="B692" t="e">
        <f>VLOOKUP(A692,'[1]Table S2'!$B$3:$B$509,1,FALSE)</f>
        <v>#N/A</v>
      </c>
      <c r="C692" t="e">
        <f>VLOOKUP(A692,'[1]Table S5'!$B$3:$B$641,1,FALSE)</f>
        <v>#N/A</v>
      </c>
      <c r="D692" t="e">
        <f>VLOOKUP(A692,[2]Sheet2!$A:$A,1,FALSE)</f>
        <v>#N/A</v>
      </c>
      <c r="E692" t="e">
        <f>VLOOKUP(A692,[3]cortex!$A:$A,1,FALSE)</f>
        <v>#N/A</v>
      </c>
      <c r="F692" t="e">
        <f>VLOOKUP(A692,[4]liver!$A:$A,1,FALSE)</f>
        <v>#N/A</v>
      </c>
      <c r="H692">
        <f t="shared" si="10"/>
        <v>0</v>
      </c>
    </row>
    <row r="693" spans="1:8" x14ac:dyDescent="0.2">
      <c r="A693" s="1" t="s">
        <v>685</v>
      </c>
      <c r="B693" t="e">
        <f>VLOOKUP(A693,'[1]Table S2'!$B$3:$B$509,1,FALSE)</f>
        <v>#N/A</v>
      </c>
      <c r="C693" t="e">
        <f>VLOOKUP(A693,'[1]Table S5'!$B$3:$B$641,1,FALSE)</f>
        <v>#N/A</v>
      </c>
      <c r="D693" t="e">
        <f>VLOOKUP(A693,[2]Sheet2!$A:$A,1,FALSE)</f>
        <v>#N/A</v>
      </c>
      <c r="E693" t="e">
        <f>VLOOKUP(A693,[3]cortex!$A:$A,1,FALSE)</f>
        <v>#N/A</v>
      </c>
      <c r="F693" t="e">
        <f>VLOOKUP(A693,[4]liver!$A:$A,1,FALSE)</f>
        <v>#N/A</v>
      </c>
      <c r="H693">
        <f t="shared" si="10"/>
        <v>0</v>
      </c>
    </row>
    <row r="694" spans="1:8" x14ac:dyDescent="0.2">
      <c r="A694" s="1" t="s">
        <v>687</v>
      </c>
      <c r="B694" t="e">
        <f>VLOOKUP(A694,'[1]Table S2'!$B$3:$B$509,1,FALSE)</f>
        <v>#N/A</v>
      </c>
      <c r="C694" t="e">
        <f>VLOOKUP(A694,'[1]Table S5'!$B$3:$B$641,1,FALSE)</f>
        <v>#N/A</v>
      </c>
      <c r="D694" t="e">
        <f>VLOOKUP(A694,[2]Sheet2!$A:$A,1,FALSE)</f>
        <v>#N/A</v>
      </c>
      <c r="E694" t="e">
        <f>VLOOKUP(A694,[3]cortex!$A:$A,1,FALSE)</f>
        <v>#N/A</v>
      </c>
      <c r="F694" t="e">
        <f>VLOOKUP(A694,[4]liver!$A:$A,1,FALSE)</f>
        <v>#N/A</v>
      </c>
      <c r="H694">
        <f t="shared" si="10"/>
        <v>0</v>
      </c>
    </row>
    <row r="695" spans="1:8" x14ac:dyDescent="0.2">
      <c r="A695" s="1" t="s">
        <v>688</v>
      </c>
      <c r="B695" t="e">
        <f>VLOOKUP(A695,'[1]Table S2'!$B$3:$B$509,1,FALSE)</f>
        <v>#N/A</v>
      </c>
      <c r="C695" t="e">
        <f>VLOOKUP(A695,'[1]Table S5'!$B$3:$B$641,1,FALSE)</f>
        <v>#N/A</v>
      </c>
      <c r="D695" t="e">
        <f>VLOOKUP(A695,[2]Sheet2!$A:$A,1,FALSE)</f>
        <v>#N/A</v>
      </c>
      <c r="E695" t="e">
        <f>VLOOKUP(A695,[3]cortex!$A:$A,1,FALSE)</f>
        <v>#N/A</v>
      </c>
      <c r="F695" t="e">
        <f>VLOOKUP(A695,[4]liver!$A:$A,1,FALSE)</f>
        <v>#N/A</v>
      </c>
      <c r="H695">
        <f t="shared" si="10"/>
        <v>0</v>
      </c>
    </row>
    <row r="696" spans="1:8" x14ac:dyDescent="0.2">
      <c r="A696" s="1" t="s">
        <v>689</v>
      </c>
      <c r="B696" t="e">
        <f>VLOOKUP(A696,'[1]Table S2'!$B$3:$B$509,1,FALSE)</f>
        <v>#N/A</v>
      </c>
      <c r="C696" t="e">
        <f>VLOOKUP(A696,'[1]Table S5'!$B$3:$B$641,1,FALSE)</f>
        <v>#N/A</v>
      </c>
      <c r="D696" t="e">
        <f>VLOOKUP(A696,[2]Sheet2!$A:$A,1,FALSE)</f>
        <v>#N/A</v>
      </c>
      <c r="E696" t="e">
        <f>VLOOKUP(A696,[3]cortex!$A:$A,1,FALSE)</f>
        <v>#N/A</v>
      </c>
      <c r="F696" t="e">
        <f>VLOOKUP(A696,[4]liver!$A:$A,1,FALSE)</f>
        <v>#N/A</v>
      </c>
      <c r="H696">
        <f t="shared" si="10"/>
        <v>0</v>
      </c>
    </row>
    <row r="697" spans="1:8" x14ac:dyDescent="0.2">
      <c r="A697" s="1" t="s">
        <v>690</v>
      </c>
      <c r="B697" t="e">
        <f>VLOOKUP(A697,'[1]Table S2'!$B$3:$B$509,1,FALSE)</f>
        <v>#N/A</v>
      </c>
      <c r="C697" t="e">
        <f>VLOOKUP(A697,'[1]Table S5'!$B$3:$B$641,1,FALSE)</f>
        <v>#N/A</v>
      </c>
      <c r="D697" t="e">
        <f>VLOOKUP(A697,[2]Sheet2!$A:$A,1,FALSE)</f>
        <v>#N/A</v>
      </c>
      <c r="E697" t="e">
        <f>VLOOKUP(A697,[3]cortex!$A:$A,1,FALSE)</f>
        <v>#N/A</v>
      </c>
      <c r="F697" t="e">
        <f>VLOOKUP(A697,[4]liver!$A:$A,1,FALSE)</f>
        <v>#N/A</v>
      </c>
      <c r="H697">
        <f t="shared" si="10"/>
        <v>0</v>
      </c>
    </row>
    <row r="698" spans="1:8" x14ac:dyDescent="0.2">
      <c r="A698" s="1" t="s">
        <v>691</v>
      </c>
      <c r="B698" t="e">
        <f>VLOOKUP(A698,'[1]Table S2'!$B$3:$B$509,1,FALSE)</f>
        <v>#N/A</v>
      </c>
      <c r="C698" t="e">
        <f>VLOOKUP(A698,'[1]Table S5'!$B$3:$B$641,1,FALSE)</f>
        <v>#N/A</v>
      </c>
      <c r="D698" t="e">
        <f>VLOOKUP(A698,[2]Sheet2!$A:$A,1,FALSE)</f>
        <v>#N/A</v>
      </c>
      <c r="E698" t="e">
        <f>VLOOKUP(A698,[3]cortex!$A:$A,1,FALSE)</f>
        <v>#N/A</v>
      </c>
      <c r="F698" t="e">
        <f>VLOOKUP(A698,[4]liver!$A:$A,1,FALSE)</f>
        <v>#N/A</v>
      </c>
      <c r="H698">
        <f t="shared" si="10"/>
        <v>0</v>
      </c>
    </row>
    <row r="699" spans="1:8" x14ac:dyDescent="0.2">
      <c r="A699" s="1" t="s">
        <v>692</v>
      </c>
      <c r="B699" t="e">
        <f>VLOOKUP(A699,'[1]Table S2'!$B$3:$B$509,1,FALSE)</f>
        <v>#N/A</v>
      </c>
      <c r="C699" t="e">
        <f>VLOOKUP(A699,'[1]Table S5'!$B$3:$B$641,1,FALSE)</f>
        <v>#N/A</v>
      </c>
      <c r="D699" t="e">
        <f>VLOOKUP(A699,[2]Sheet2!$A:$A,1,FALSE)</f>
        <v>#N/A</v>
      </c>
      <c r="E699" t="e">
        <f>VLOOKUP(A699,[3]cortex!$A:$A,1,FALSE)</f>
        <v>#N/A</v>
      </c>
      <c r="F699" t="e">
        <f>VLOOKUP(A699,[4]liver!$A:$A,1,FALSE)</f>
        <v>#N/A</v>
      </c>
      <c r="H699">
        <f t="shared" si="10"/>
        <v>0</v>
      </c>
    </row>
    <row r="700" spans="1:8" x14ac:dyDescent="0.2">
      <c r="A700" s="1" t="s">
        <v>694</v>
      </c>
      <c r="B700" t="e">
        <f>VLOOKUP(A700,'[1]Table S2'!$B$3:$B$509,1,FALSE)</f>
        <v>#N/A</v>
      </c>
      <c r="C700" t="e">
        <f>VLOOKUP(A700,'[1]Table S5'!$B$3:$B$641,1,FALSE)</f>
        <v>#N/A</v>
      </c>
      <c r="D700" t="e">
        <f>VLOOKUP(A700,[2]Sheet2!$A:$A,1,FALSE)</f>
        <v>#N/A</v>
      </c>
      <c r="E700" t="e">
        <f>VLOOKUP(A700,[3]cortex!$A:$A,1,FALSE)</f>
        <v>#N/A</v>
      </c>
      <c r="F700" t="e">
        <f>VLOOKUP(A700,[4]liver!$A:$A,1,FALSE)</f>
        <v>#N/A</v>
      </c>
      <c r="H700">
        <f t="shared" si="10"/>
        <v>0</v>
      </c>
    </row>
    <row r="701" spans="1:8" x14ac:dyDescent="0.2">
      <c r="A701" s="1" t="s">
        <v>696</v>
      </c>
      <c r="B701" t="e">
        <f>VLOOKUP(A701,'[1]Table S2'!$B$3:$B$509,1,FALSE)</f>
        <v>#N/A</v>
      </c>
      <c r="C701" t="e">
        <f>VLOOKUP(A701,'[1]Table S5'!$B$3:$B$641,1,FALSE)</f>
        <v>#N/A</v>
      </c>
      <c r="D701" t="e">
        <f>VLOOKUP(A701,[2]Sheet2!$A:$A,1,FALSE)</f>
        <v>#N/A</v>
      </c>
      <c r="E701" t="e">
        <f>VLOOKUP(A701,[3]cortex!$A:$A,1,FALSE)</f>
        <v>#N/A</v>
      </c>
      <c r="F701" t="e">
        <f>VLOOKUP(A701,[4]liver!$A:$A,1,FALSE)</f>
        <v>#N/A</v>
      </c>
      <c r="H701">
        <f t="shared" si="10"/>
        <v>0</v>
      </c>
    </row>
    <row r="702" spans="1:8" x14ac:dyDescent="0.2">
      <c r="A702" s="1" t="s">
        <v>697</v>
      </c>
      <c r="B702" t="e">
        <f>VLOOKUP(A702,'[1]Table S2'!$B$3:$B$509,1,FALSE)</f>
        <v>#N/A</v>
      </c>
      <c r="C702" t="e">
        <f>VLOOKUP(A702,'[1]Table S5'!$B$3:$B$641,1,FALSE)</f>
        <v>#N/A</v>
      </c>
      <c r="D702" t="e">
        <f>VLOOKUP(A702,[2]Sheet2!$A:$A,1,FALSE)</f>
        <v>#N/A</v>
      </c>
      <c r="E702" t="e">
        <f>VLOOKUP(A702,[3]cortex!$A:$A,1,FALSE)</f>
        <v>#N/A</v>
      </c>
      <c r="F702" t="e">
        <f>VLOOKUP(A702,[4]liver!$A:$A,1,FALSE)</f>
        <v>#N/A</v>
      </c>
      <c r="H702">
        <f t="shared" si="10"/>
        <v>0</v>
      </c>
    </row>
    <row r="703" spans="1:8" x14ac:dyDescent="0.2">
      <c r="A703" s="1" t="s">
        <v>698</v>
      </c>
      <c r="B703" t="e">
        <f>VLOOKUP(A703,'[1]Table S2'!$B$3:$B$509,1,FALSE)</f>
        <v>#N/A</v>
      </c>
      <c r="C703" t="e">
        <f>VLOOKUP(A703,'[1]Table S5'!$B$3:$B$641,1,FALSE)</f>
        <v>#N/A</v>
      </c>
      <c r="D703" t="e">
        <f>VLOOKUP(A703,[2]Sheet2!$A:$A,1,FALSE)</f>
        <v>#N/A</v>
      </c>
      <c r="E703" t="e">
        <f>VLOOKUP(A703,[3]cortex!$A:$A,1,FALSE)</f>
        <v>#N/A</v>
      </c>
      <c r="F703" t="e">
        <f>VLOOKUP(A703,[4]liver!$A:$A,1,FALSE)</f>
        <v>#N/A</v>
      </c>
      <c r="H703">
        <f t="shared" si="10"/>
        <v>0</v>
      </c>
    </row>
    <row r="704" spans="1:8" x14ac:dyDescent="0.2">
      <c r="A704" s="1" t="s">
        <v>699</v>
      </c>
      <c r="B704" t="e">
        <f>VLOOKUP(A704,'[1]Table S2'!$B$3:$B$509,1,FALSE)</f>
        <v>#N/A</v>
      </c>
      <c r="C704" t="e">
        <f>VLOOKUP(A704,'[1]Table S5'!$B$3:$B$641,1,FALSE)</f>
        <v>#N/A</v>
      </c>
      <c r="D704" t="e">
        <f>VLOOKUP(A704,[2]Sheet2!$A:$A,1,FALSE)</f>
        <v>#N/A</v>
      </c>
      <c r="E704" t="e">
        <f>VLOOKUP(A704,[3]cortex!$A:$A,1,FALSE)</f>
        <v>#N/A</v>
      </c>
      <c r="F704" t="e">
        <f>VLOOKUP(A704,[4]liver!$A:$A,1,FALSE)</f>
        <v>#N/A</v>
      </c>
      <c r="H704">
        <f t="shared" si="10"/>
        <v>0</v>
      </c>
    </row>
    <row r="705" spans="1:8" x14ac:dyDescent="0.2">
      <c r="A705" s="1" t="s">
        <v>701</v>
      </c>
      <c r="B705" t="e">
        <f>VLOOKUP(A705,'[1]Table S2'!$B$3:$B$509,1,FALSE)</f>
        <v>#N/A</v>
      </c>
      <c r="C705" t="e">
        <f>VLOOKUP(A705,'[1]Table S5'!$B$3:$B$641,1,FALSE)</f>
        <v>#N/A</v>
      </c>
      <c r="D705" t="e">
        <f>VLOOKUP(A705,[2]Sheet2!$A:$A,1,FALSE)</f>
        <v>#N/A</v>
      </c>
      <c r="E705" t="e">
        <f>VLOOKUP(A705,[3]cortex!$A:$A,1,FALSE)</f>
        <v>#N/A</v>
      </c>
      <c r="F705" t="e">
        <f>VLOOKUP(A705,[4]liver!$A:$A,1,FALSE)</f>
        <v>#N/A</v>
      </c>
      <c r="H705">
        <f t="shared" si="10"/>
        <v>0</v>
      </c>
    </row>
    <row r="706" spans="1:8" x14ac:dyDescent="0.2">
      <c r="A706" s="1" t="s">
        <v>702</v>
      </c>
      <c r="B706" t="e">
        <f>VLOOKUP(A706,'[1]Table S2'!$B$3:$B$509,1,FALSE)</f>
        <v>#N/A</v>
      </c>
      <c r="C706" t="e">
        <f>VLOOKUP(A706,'[1]Table S5'!$B$3:$B$641,1,FALSE)</f>
        <v>#N/A</v>
      </c>
      <c r="D706" t="e">
        <f>VLOOKUP(A706,[2]Sheet2!$A:$A,1,FALSE)</f>
        <v>#N/A</v>
      </c>
      <c r="E706" t="e">
        <f>VLOOKUP(A706,[3]cortex!$A:$A,1,FALSE)</f>
        <v>#N/A</v>
      </c>
      <c r="F706" t="e">
        <f>VLOOKUP(A706,[4]liver!$A:$A,1,FALSE)</f>
        <v>#N/A</v>
      </c>
      <c r="H706">
        <f t="shared" ref="H706:H722" si="11">COUNTIF(B706:G706,A706)</f>
        <v>0</v>
      </c>
    </row>
    <row r="707" spans="1:8" x14ac:dyDescent="0.2">
      <c r="A707" s="1" t="s">
        <v>703</v>
      </c>
      <c r="B707" t="e">
        <f>VLOOKUP(A707,'[1]Table S2'!$B$3:$B$509,1,FALSE)</f>
        <v>#N/A</v>
      </c>
      <c r="C707" t="e">
        <f>VLOOKUP(A707,'[1]Table S5'!$B$3:$B$641,1,FALSE)</f>
        <v>#N/A</v>
      </c>
      <c r="D707" t="e">
        <f>VLOOKUP(A707,[2]Sheet2!$A:$A,1,FALSE)</f>
        <v>#N/A</v>
      </c>
      <c r="E707" t="e">
        <f>VLOOKUP(A707,[3]cortex!$A:$A,1,FALSE)</f>
        <v>#N/A</v>
      </c>
      <c r="F707" t="e">
        <f>VLOOKUP(A707,[4]liver!$A:$A,1,FALSE)</f>
        <v>#N/A</v>
      </c>
      <c r="H707">
        <f t="shared" si="11"/>
        <v>0</v>
      </c>
    </row>
    <row r="708" spans="1:8" x14ac:dyDescent="0.2">
      <c r="A708" s="1" t="s">
        <v>704</v>
      </c>
      <c r="B708" t="e">
        <f>VLOOKUP(A708,'[1]Table S2'!$B$3:$B$509,1,FALSE)</f>
        <v>#N/A</v>
      </c>
      <c r="C708" t="e">
        <f>VLOOKUP(A708,'[1]Table S5'!$B$3:$B$641,1,FALSE)</f>
        <v>#N/A</v>
      </c>
      <c r="D708" t="e">
        <f>VLOOKUP(A708,[2]Sheet2!$A:$A,1,FALSE)</f>
        <v>#N/A</v>
      </c>
      <c r="E708" t="e">
        <f>VLOOKUP(A708,[3]cortex!$A:$A,1,FALSE)</f>
        <v>#N/A</v>
      </c>
      <c r="F708" t="e">
        <f>VLOOKUP(A708,[4]liver!$A:$A,1,FALSE)</f>
        <v>#N/A</v>
      </c>
      <c r="H708">
        <f t="shared" si="11"/>
        <v>0</v>
      </c>
    </row>
    <row r="709" spans="1:8" x14ac:dyDescent="0.2">
      <c r="A709" s="1" t="s">
        <v>705</v>
      </c>
      <c r="B709" t="e">
        <f>VLOOKUP(A709,'[1]Table S2'!$B$3:$B$509,1,FALSE)</f>
        <v>#N/A</v>
      </c>
      <c r="C709" t="e">
        <f>VLOOKUP(A709,'[1]Table S5'!$B$3:$B$641,1,FALSE)</f>
        <v>#N/A</v>
      </c>
      <c r="D709" t="e">
        <f>VLOOKUP(A709,[2]Sheet2!$A:$A,1,FALSE)</f>
        <v>#N/A</v>
      </c>
      <c r="E709" t="e">
        <f>VLOOKUP(A709,[3]cortex!$A:$A,1,FALSE)</f>
        <v>#N/A</v>
      </c>
      <c r="F709" t="e">
        <f>VLOOKUP(A709,[4]liver!$A:$A,1,FALSE)</f>
        <v>#N/A</v>
      </c>
      <c r="H709">
        <f t="shared" si="11"/>
        <v>0</v>
      </c>
    </row>
    <row r="710" spans="1:8" x14ac:dyDescent="0.2">
      <c r="A710" s="1" t="s">
        <v>706</v>
      </c>
      <c r="B710" t="e">
        <f>VLOOKUP(A710,'[1]Table S2'!$B$3:$B$509,1,FALSE)</f>
        <v>#N/A</v>
      </c>
      <c r="C710" t="e">
        <f>VLOOKUP(A710,'[1]Table S5'!$B$3:$B$641,1,FALSE)</f>
        <v>#N/A</v>
      </c>
      <c r="D710" t="e">
        <f>VLOOKUP(A710,[2]Sheet2!$A:$A,1,FALSE)</f>
        <v>#N/A</v>
      </c>
      <c r="E710" t="e">
        <f>VLOOKUP(A710,[3]cortex!$A:$A,1,FALSE)</f>
        <v>#N/A</v>
      </c>
      <c r="F710" t="e">
        <f>VLOOKUP(A710,[4]liver!$A:$A,1,FALSE)</f>
        <v>#N/A</v>
      </c>
      <c r="H710">
        <f t="shared" si="11"/>
        <v>0</v>
      </c>
    </row>
    <row r="711" spans="1:8" x14ac:dyDescent="0.2">
      <c r="A711" s="1" t="s">
        <v>707</v>
      </c>
      <c r="B711" t="e">
        <f>VLOOKUP(A711,'[1]Table S2'!$B$3:$B$509,1,FALSE)</f>
        <v>#N/A</v>
      </c>
      <c r="C711" t="e">
        <f>VLOOKUP(A711,'[1]Table S5'!$B$3:$B$641,1,FALSE)</f>
        <v>#N/A</v>
      </c>
      <c r="D711" t="e">
        <f>VLOOKUP(A711,[2]Sheet2!$A:$A,1,FALSE)</f>
        <v>#N/A</v>
      </c>
      <c r="E711" t="e">
        <f>VLOOKUP(A711,[3]cortex!$A:$A,1,FALSE)</f>
        <v>#N/A</v>
      </c>
      <c r="F711" t="e">
        <f>VLOOKUP(A711,[4]liver!$A:$A,1,FALSE)</f>
        <v>#N/A</v>
      </c>
      <c r="H711">
        <f t="shared" si="11"/>
        <v>0</v>
      </c>
    </row>
    <row r="712" spans="1:8" x14ac:dyDescent="0.2">
      <c r="A712" s="1" t="s">
        <v>708</v>
      </c>
      <c r="B712" t="e">
        <f>VLOOKUP(A712,'[1]Table S2'!$B$3:$B$509,1,FALSE)</f>
        <v>#N/A</v>
      </c>
      <c r="C712" t="e">
        <f>VLOOKUP(A712,'[1]Table S5'!$B$3:$B$641,1,FALSE)</f>
        <v>#N/A</v>
      </c>
      <c r="D712" t="e">
        <f>VLOOKUP(A712,[2]Sheet2!$A:$A,1,FALSE)</f>
        <v>#N/A</v>
      </c>
      <c r="E712" t="e">
        <f>VLOOKUP(A712,[3]cortex!$A:$A,1,FALSE)</f>
        <v>#N/A</v>
      </c>
      <c r="F712" t="e">
        <f>VLOOKUP(A712,[4]liver!$A:$A,1,FALSE)</f>
        <v>#N/A</v>
      </c>
      <c r="H712">
        <f t="shared" si="11"/>
        <v>0</v>
      </c>
    </row>
    <row r="713" spans="1:8" x14ac:dyDescent="0.2">
      <c r="A713" s="1" t="s">
        <v>709</v>
      </c>
      <c r="B713" t="e">
        <f>VLOOKUP(A713,'[1]Table S2'!$B$3:$B$509,1,FALSE)</f>
        <v>#N/A</v>
      </c>
      <c r="C713" t="e">
        <f>VLOOKUP(A713,'[1]Table S5'!$B$3:$B$641,1,FALSE)</f>
        <v>#N/A</v>
      </c>
      <c r="D713" t="e">
        <f>VLOOKUP(A713,[2]Sheet2!$A:$A,1,FALSE)</f>
        <v>#N/A</v>
      </c>
      <c r="E713" t="e">
        <f>VLOOKUP(A713,[3]cortex!$A:$A,1,FALSE)</f>
        <v>#N/A</v>
      </c>
      <c r="F713" t="e">
        <f>VLOOKUP(A713,[4]liver!$A:$A,1,FALSE)</f>
        <v>#N/A</v>
      </c>
      <c r="H713">
        <f t="shared" si="11"/>
        <v>0</v>
      </c>
    </row>
    <row r="714" spans="1:8" x14ac:dyDescent="0.2">
      <c r="A714" s="1" t="s">
        <v>710</v>
      </c>
      <c r="B714" t="e">
        <f>VLOOKUP(A714,'[1]Table S2'!$B$3:$B$509,1,FALSE)</f>
        <v>#N/A</v>
      </c>
      <c r="C714" t="e">
        <f>VLOOKUP(A714,'[1]Table S5'!$B$3:$B$641,1,FALSE)</f>
        <v>#N/A</v>
      </c>
      <c r="D714" t="e">
        <f>VLOOKUP(A714,[2]Sheet2!$A:$A,1,FALSE)</f>
        <v>#N/A</v>
      </c>
      <c r="E714" t="e">
        <f>VLOOKUP(A714,[3]cortex!$A:$A,1,FALSE)</f>
        <v>#N/A</v>
      </c>
      <c r="F714" t="e">
        <f>VLOOKUP(A714,[4]liver!$A:$A,1,FALSE)</f>
        <v>#N/A</v>
      </c>
      <c r="H714">
        <f t="shared" si="11"/>
        <v>0</v>
      </c>
    </row>
    <row r="715" spans="1:8" x14ac:dyDescent="0.2">
      <c r="A715" s="1" t="s">
        <v>711</v>
      </c>
      <c r="B715" t="e">
        <f>VLOOKUP(A715,'[1]Table S2'!$B$3:$B$509,1,FALSE)</f>
        <v>#N/A</v>
      </c>
      <c r="C715" t="e">
        <f>VLOOKUP(A715,'[1]Table S5'!$B$3:$B$641,1,FALSE)</f>
        <v>#N/A</v>
      </c>
      <c r="D715" t="e">
        <f>VLOOKUP(A715,[2]Sheet2!$A:$A,1,FALSE)</f>
        <v>#N/A</v>
      </c>
      <c r="E715" t="e">
        <f>VLOOKUP(A715,[3]cortex!$A:$A,1,FALSE)</f>
        <v>#N/A</v>
      </c>
      <c r="F715" t="e">
        <f>VLOOKUP(A715,[4]liver!$A:$A,1,FALSE)</f>
        <v>#N/A</v>
      </c>
      <c r="H715">
        <f t="shared" si="11"/>
        <v>0</v>
      </c>
    </row>
    <row r="716" spans="1:8" x14ac:dyDescent="0.2">
      <c r="A716" s="1" t="s">
        <v>712</v>
      </c>
      <c r="B716" t="e">
        <f>VLOOKUP(A716,'[1]Table S2'!$B$3:$B$509,1,FALSE)</f>
        <v>#N/A</v>
      </c>
      <c r="C716" t="e">
        <f>VLOOKUP(A716,'[1]Table S5'!$B$3:$B$641,1,FALSE)</f>
        <v>#N/A</v>
      </c>
      <c r="D716" t="e">
        <f>VLOOKUP(A716,[2]Sheet2!$A:$A,1,FALSE)</f>
        <v>#N/A</v>
      </c>
      <c r="E716" t="e">
        <f>VLOOKUP(A716,[3]cortex!$A:$A,1,FALSE)</f>
        <v>#N/A</v>
      </c>
      <c r="F716" t="e">
        <f>VLOOKUP(A716,[4]liver!$A:$A,1,FALSE)</f>
        <v>#N/A</v>
      </c>
      <c r="H716">
        <f t="shared" si="11"/>
        <v>0</v>
      </c>
    </row>
    <row r="717" spans="1:8" x14ac:dyDescent="0.2">
      <c r="A717" s="1" t="s">
        <v>713</v>
      </c>
      <c r="B717" t="e">
        <f>VLOOKUP(A717,'[1]Table S2'!$B$3:$B$509,1,FALSE)</f>
        <v>#N/A</v>
      </c>
      <c r="C717" t="e">
        <f>VLOOKUP(A717,'[1]Table S5'!$B$3:$B$641,1,FALSE)</f>
        <v>#N/A</v>
      </c>
      <c r="D717" t="e">
        <f>VLOOKUP(A717,[2]Sheet2!$A:$A,1,FALSE)</f>
        <v>#N/A</v>
      </c>
      <c r="E717" t="e">
        <f>VLOOKUP(A717,[3]cortex!$A:$A,1,FALSE)</f>
        <v>#N/A</v>
      </c>
      <c r="F717" t="e">
        <f>VLOOKUP(A717,[4]liver!$A:$A,1,FALSE)</f>
        <v>#N/A</v>
      </c>
      <c r="H717">
        <f t="shared" si="11"/>
        <v>0</v>
      </c>
    </row>
    <row r="718" spans="1:8" x14ac:dyDescent="0.2">
      <c r="A718" s="1" t="s">
        <v>714</v>
      </c>
      <c r="B718" t="e">
        <f>VLOOKUP(A718,'[1]Table S2'!$B$3:$B$509,1,FALSE)</f>
        <v>#N/A</v>
      </c>
      <c r="C718" t="e">
        <f>VLOOKUP(A718,'[1]Table S5'!$B$3:$B$641,1,FALSE)</f>
        <v>#N/A</v>
      </c>
      <c r="D718" t="e">
        <f>VLOOKUP(A718,[2]Sheet2!$A:$A,1,FALSE)</f>
        <v>#N/A</v>
      </c>
      <c r="E718" t="e">
        <f>VLOOKUP(A718,[3]cortex!$A:$A,1,FALSE)</f>
        <v>#N/A</v>
      </c>
      <c r="F718" t="e">
        <f>VLOOKUP(A718,[4]liver!$A:$A,1,FALSE)</f>
        <v>#N/A</v>
      </c>
      <c r="H718">
        <f t="shared" si="11"/>
        <v>0</v>
      </c>
    </row>
    <row r="719" spans="1:8" x14ac:dyDescent="0.2">
      <c r="A719" s="1" t="s">
        <v>715</v>
      </c>
      <c r="B719" t="e">
        <f>VLOOKUP(A719,'[1]Table S2'!$B$3:$B$509,1,FALSE)</f>
        <v>#N/A</v>
      </c>
      <c r="C719" t="e">
        <f>VLOOKUP(A719,'[1]Table S5'!$B$3:$B$641,1,FALSE)</f>
        <v>#N/A</v>
      </c>
      <c r="D719" t="e">
        <f>VLOOKUP(A719,[2]Sheet2!$A:$A,1,FALSE)</f>
        <v>#N/A</v>
      </c>
      <c r="E719" t="e">
        <f>VLOOKUP(A719,[3]cortex!$A:$A,1,FALSE)</f>
        <v>#N/A</v>
      </c>
      <c r="F719" t="e">
        <f>VLOOKUP(A719,[4]liver!$A:$A,1,FALSE)</f>
        <v>#N/A</v>
      </c>
      <c r="H719">
        <f t="shared" si="11"/>
        <v>0</v>
      </c>
    </row>
    <row r="720" spans="1:8" x14ac:dyDescent="0.2">
      <c r="A720" s="1" t="s">
        <v>716</v>
      </c>
      <c r="B720" t="e">
        <f>VLOOKUP(A720,'[1]Table S2'!$B$3:$B$509,1,FALSE)</f>
        <v>#N/A</v>
      </c>
      <c r="C720" t="e">
        <f>VLOOKUP(A720,'[1]Table S5'!$B$3:$B$641,1,FALSE)</f>
        <v>#N/A</v>
      </c>
      <c r="D720" t="e">
        <f>VLOOKUP(A720,[2]Sheet2!$A:$A,1,FALSE)</f>
        <v>#N/A</v>
      </c>
      <c r="E720" t="e">
        <f>VLOOKUP(A720,[3]cortex!$A:$A,1,FALSE)</f>
        <v>#N/A</v>
      </c>
      <c r="F720" t="e">
        <f>VLOOKUP(A720,[4]liver!$A:$A,1,FALSE)</f>
        <v>#N/A</v>
      </c>
      <c r="H720">
        <f t="shared" si="11"/>
        <v>0</v>
      </c>
    </row>
    <row r="721" spans="1:8" x14ac:dyDescent="0.2">
      <c r="A721" s="1" t="s">
        <v>717</v>
      </c>
      <c r="B721" t="e">
        <f>VLOOKUP(A721,'[1]Table S2'!$B$3:$B$509,1,FALSE)</f>
        <v>#N/A</v>
      </c>
      <c r="C721" t="e">
        <f>VLOOKUP(A721,'[1]Table S5'!$B$3:$B$641,1,FALSE)</f>
        <v>#N/A</v>
      </c>
      <c r="D721" t="e">
        <f>VLOOKUP(A721,[2]Sheet2!$A:$A,1,FALSE)</f>
        <v>#N/A</v>
      </c>
      <c r="E721" t="e">
        <f>VLOOKUP(A721,[3]cortex!$A:$A,1,FALSE)</f>
        <v>#N/A</v>
      </c>
      <c r="F721" t="e">
        <f>VLOOKUP(A721,[4]liver!$A:$A,1,FALSE)</f>
        <v>#N/A</v>
      </c>
      <c r="H721">
        <f t="shared" si="11"/>
        <v>0</v>
      </c>
    </row>
    <row r="722" spans="1:8" x14ac:dyDescent="0.2">
      <c r="A722" s="1" t="s">
        <v>718</v>
      </c>
      <c r="B722" t="e">
        <f>VLOOKUP(A722,'[1]Table S2'!$B$3:$B$509,1,FALSE)</f>
        <v>#N/A</v>
      </c>
      <c r="C722" t="e">
        <f>VLOOKUP(A722,'[1]Table S5'!$B$3:$B$641,1,FALSE)</f>
        <v>#N/A</v>
      </c>
      <c r="D722" t="e">
        <f>VLOOKUP(A722,[2]Sheet2!$A:$A,1,FALSE)</f>
        <v>#N/A</v>
      </c>
      <c r="E722" t="e">
        <f>VLOOKUP(A722,[3]cortex!$A:$A,1,FALSE)</f>
        <v>#N/A</v>
      </c>
      <c r="F722" t="e">
        <f>VLOOKUP(A722,[4]liver!$A:$A,1,FALSE)</f>
        <v>#N/A</v>
      </c>
      <c r="H722">
        <f t="shared" si="11"/>
        <v>0</v>
      </c>
    </row>
  </sheetData>
  <autoFilter ref="A1:H72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2024-03-18T11:30:29Z</dcterms:modified>
</cp:coreProperties>
</file>