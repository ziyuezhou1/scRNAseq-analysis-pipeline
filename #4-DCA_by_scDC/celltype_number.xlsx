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X:\ZZY\snRNAseq_analysis\20230309-analysis\#4-DCA_by_scDC\"/>
    </mc:Choice>
  </mc:AlternateContent>
  <xr:revisionPtr revIDLastSave="0" documentId="13_ncr:40009_{ACCF0453-A230-45EB-A197-55F1A35E51E3}" xr6:coauthVersionLast="47" xr6:coauthVersionMax="47" xr10:uidLastSave="{00000000-0000-0000-0000-000000000000}"/>
  <bookViews>
    <workbookView xWindow="-120" yWindow="-120" windowWidth="29040" windowHeight="15720" activeTab="2"/>
  </bookViews>
  <sheets>
    <sheet name="celltype_number" sheetId="1" r:id="rId1"/>
    <sheet name="all celltypes" sheetId="2" r:id="rId2"/>
    <sheet name="Sheet2" sheetId="3" r:id="rId3"/>
  </sheets>
  <definedNames>
    <definedName name="_xlnm._FilterDatabase" localSheetId="2" hidden="1">Sheet2!$A$1:$H$23</definedName>
  </definedNames>
  <calcPr calcId="191029"/>
</workbook>
</file>

<file path=xl/calcChain.xml><?xml version="1.0" encoding="utf-8"?>
<calcChain xmlns="http://schemas.openxmlformats.org/spreadsheetml/2006/main">
  <c r="B10" i="2" l="1"/>
  <c r="C10" i="2"/>
  <c r="D10" i="2"/>
  <c r="E10" i="2"/>
  <c r="F10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B11" i="2"/>
  <c r="C11" i="2"/>
  <c r="D11" i="2"/>
  <c r="E11" i="2"/>
  <c r="F11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B12" i="2"/>
  <c r="C12" i="2"/>
  <c r="D12" i="2"/>
  <c r="E12" i="2"/>
  <c r="F12" i="2"/>
  <c r="G12" i="2"/>
  <c r="H12" i="2"/>
  <c r="I12" i="2"/>
  <c r="J12" i="2"/>
  <c r="K12" i="2"/>
  <c r="L12" i="2"/>
  <c r="M12" i="2"/>
  <c r="N12" i="2"/>
  <c r="O12" i="2"/>
  <c r="P12" i="2"/>
  <c r="Q12" i="2"/>
  <c r="R12" i="2"/>
  <c r="S12" i="2"/>
  <c r="T12" i="2"/>
  <c r="U12" i="2"/>
  <c r="V12" i="2"/>
  <c r="W12" i="2"/>
  <c r="X12" i="2"/>
  <c r="B13" i="2"/>
  <c r="C13" i="2"/>
  <c r="D13" i="2"/>
  <c r="E13" i="2"/>
  <c r="F13" i="2"/>
  <c r="G13" i="2"/>
  <c r="H13" i="2"/>
  <c r="I13" i="2"/>
  <c r="J13" i="2"/>
  <c r="K13" i="2"/>
  <c r="L13" i="2"/>
  <c r="M13" i="2"/>
  <c r="N13" i="2"/>
  <c r="O13" i="2"/>
  <c r="P13" i="2"/>
  <c r="Q13" i="2"/>
  <c r="R13" i="2"/>
  <c r="S13" i="2"/>
  <c r="T13" i="2"/>
  <c r="U13" i="2"/>
  <c r="V13" i="2"/>
  <c r="W13" i="2"/>
  <c r="X13" i="2"/>
  <c r="C9" i="2"/>
  <c r="D9" i="2"/>
  <c r="E9" i="2"/>
  <c r="F9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B9" i="2"/>
  <c r="Z3" i="2"/>
  <c r="Z4" i="2"/>
  <c r="Z5" i="2"/>
  <c r="Z6" i="2"/>
  <c r="Z2" i="2"/>
</calcChain>
</file>

<file path=xl/sharedStrings.xml><?xml version="1.0" encoding="utf-8"?>
<sst xmlns="http://schemas.openxmlformats.org/spreadsheetml/2006/main" count="164" uniqueCount="39">
  <si>
    <t>Exc-L2&amp;L4/5IT</t>
  </si>
  <si>
    <t>Astro1</t>
  </si>
  <si>
    <t>Oligo1</t>
  </si>
  <si>
    <t>Exc-neuron1</t>
  </si>
  <si>
    <t>Micro</t>
  </si>
  <si>
    <t>Exc-L6CT</t>
  </si>
  <si>
    <t>Inh-PV&amp;SST</t>
  </si>
  <si>
    <t>Exc-neuron2</t>
  </si>
  <si>
    <t>Inh-VIP&amp;Lamp5</t>
  </si>
  <si>
    <t>OPC1</t>
  </si>
  <si>
    <t>Exc-neuron3</t>
  </si>
  <si>
    <t>Exc-L5/6N</t>
  </si>
  <si>
    <t>Exc-neuron4</t>
  </si>
  <si>
    <t>Interneuron</t>
  </si>
  <si>
    <t>Astro(Slc1a3+,Dab2+)</t>
  </si>
  <si>
    <t>Exc-L2/3IT</t>
  </si>
  <si>
    <t>Glial cell(Egfr+)</t>
  </si>
  <si>
    <t>Endo(Igfbp7+)</t>
  </si>
  <si>
    <t>Endo</t>
  </si>
  <si>
    <t>Astro2</t>
  </si>
  <si>
    <t>Exc-Car3</t>
  </si>
  <si>
    <t>Oligo2</t>
  </si>
  <si>
    <t>OPC2</t>
  </si>
  <si>
    <t>N1</t>
  </si>
  <si>
    <t>N2</t>
  </si>
  <si>
    <t>N3</t>
  </si>
  <si>
    <t>N4</t>
  </si>
  <si>
    <t>N5</t>
  </si>
  <si>
    <t>Exc-neuron</t>
  </si>
  <si>
    <t>Inh-neuron</t>
  </si>
  <si>
    <t>Glial cell</t>
  </si>
  <si>
    <t>Total</t>
  </si>
  <si>
    <t>Inh Total</t>
  </si>
  <si>
    <t>Inh-Adarb2+Lhx6-</t>
  </si>
  <si>
    <t>Exc-L2&amp;L4/5IT</t>
    <phoneticPr fontId="18" type="noConversion"/>
  </si>
  <si>
    <t>Exc-neuron1</t>
    <phoneticPr fontId="18" type="noConversion"/>
  </si>
  <si>
    <t>total</t>
    <phoneticPr fontId="18" type="noConversion"/>
  </si>
  <si>
    <t>Inh-VIP&amp;Lamp5</t>
    <phoneticPr fontId="18" type="noConversion"/>
  </si>
  <si>
    <t>order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</si>
</sst>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2"/>
  <sheetViews>
    <sheetView topLeftCell="E1" workbookViewId="0">
      <selection sqref="A1:X6"/>
    </sheetView>
  </sheetViews>
  <sheetFormatPr defaultRowHeight="14.25" x14ac:dyDescent="0.2"/>
  <sheetData>
    <row r="1" spans="1:24" x14ac:dyDescent="0.2">
      <c r="B1" t="s">
        <v>34</v>
      </c>
      <c r="C1" t="s">
        <v>1</v>
      </c>
      <c r="D1" t="s">
        <v>2</v>
      </c>
      <c r="E1" t="s">
        <v>35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">
      <c r="A2" t="s">
        <v>23</v>
      </c>
      <c r="B2">
        <v>1643</v>
      </c>
      <c r="C2">
        <v>1008</v>
      </c>
      <c r="D2">
        <v>1287</v>
      </c>
      <c r="E2">
        <v>1319</v>
      </c>
      <c r="F2">
        <v>1050</v>
      </c>
      <c r="G2">
        <v>1087</v>
      </c>
      <c r="H2">
        <v>883</v>
      </c>
      <c r="I2">
        <v>962</v>
      </c>
      <c r="J2">
        <v>557</v>
      </c>
      <c r="K2">
        <v>509</v>
      </c>
      <c r="L2">
        <v>172</v>
      </c>
      <c r="M2">
        <v>321</v>
      </c>
      <c r="N2">
        <v>351</v>
      </c>
      <c r="O2">
        <v>58</v>
      </c>
      <c r="P2">
        <v>112</v>
      </c>
      <c r="Q2">
        <v>86</v>
      </c>
      <c r="R2">
        <v>95</v>
      </c>
      <c r="S2">
        <v>53</v>
      </c>
      <c r="T2">
        <v>37</v>
      </c>
      <c r="U2">
        <v>30</v>
      </c>
      <c r="V2">
        <v>66</v>
      </c>
      <c r="W2">
        <v>29</v>
      </c>
      <c r="X2">
        <v>3</v>
      </c>
    </row>
    <row r="3" spans="1:24" x14ac:dyDescent="0.2">
      <c r="A3" t="s">
        <v>24</v>
      </c>
      <c r="B3">
        <v>1762</v>
      </c>
      <c r="C3">
        <v>1167</v>
      </c>
      <c r="D3">
        <v>795</v>
      </c>
      <c r="E3">
        <v>1178</v>
      </c>
      <c r="F3">
        <v>761</v>
      </c>
      <c r="G3">
        <v>1087</v>
      </c>
      <c r="H3">
        <v>924</v>
      </c>
      <c r="I3">
        <v>1070</v>
      </c>
      <c r="J3">
        <v>571</v>
      </c>
      <c r="K3">
        <v>502</v>
      </c>
      <c r="L3">
        <v>398</v>
      </c>
      <c r="M3">
        <v>328</v>
      </c>
      <c r="N3">
        <v>396</v>
      </c>
      <c r="O3">
        <v>319</v>
      </c>
      <c r="P3">
        <v>167</v>
      </c>
      <c r="Q3">
        <v>217</v>
      </c>
      <c r="R3">
        <v>113</v>
      </c>
      <c r="S3">
        <v>72</v>
      </c>
      <c r="T3">
        <v>58</v>
      </c>
      <c r="U3">
        <v>108</v>
      </c>
      <c r="V3">
        <v>52</v>
      </c>
      <c r="W3">
        <v>63</v>
      </c>
      <c r="X3">
        <v>12</v>
      </c>
    </row>
    <row r="4" spans="1:24" x14ac:dyDescent="0.2">
      <c r="A4" t="s">
        <v>25</v>
      </c>
      <c r="B4">
        <v>1338</v>
      </c>
      <c r="C4">
        <v>1422</v>
      </c>
      <c r="D4">
        <v>1180</v>
      </c>
      <c r="E4">
        <v>1152</v>
      </c>
      <c r="F4">
        <v>1392</v>
      </c>
      <c r="G4">
        <v>851</v>
      </c>
      <c r="H4">
        <v>818</v>
      </c>
      <c r="I4">
        <v>810</v>
      </c>
      <c r="J4">
        <v>652</v>
      </c>
      <c r="K4">
        <v>667</v>
      </c>
      <c r="L4">
        <v>416</v>
      </c>
      <c r="M4">
        <v>302</v>
      </c>
      <c r="N4">
        <v>226</v>
      </c>
      <c r="O4">
        <v>43</v>
      </c>
      <c r="P4">
        <v>259</v>
      </c>
      <c r="Q4">
        <v>13</v>
      </c>
      <c r="R4">
        <v>212</v>
      </c>
      <c r="S4">
        <v>96</v>
      </c>
      <c r="T4">
        <v>91</v>
      </c>
      <c r="U4">
        <v>31</v>
      </c>
      <c r="V4">
        <v>23</v>
      </c>
      <c r="W4">
        <v>34</v>
      </c>
      <c r="X4">
        <v>14</v>
      </c>
    </row>
    <row r="5" spans="1:24" x14ac:dyDescent="0.2">
      <c r="A5" t="s">
        <v>26</v>
      </c>
      <c r="B5">
        <v>1191</v>
      </c>
      <c r="C5">
        <v>1316</v>
      </c>
      <c r="D5">
        <v>1155</v>
      </c>
      <c r="E5">
        <v>909</v>
      </c>
      <c r="F5">
        <v>995</v>
      </c>
      <c r="G5">
        <v>672</v>
      </c>
      <c r="H5">
        <v>787</v>
      </c>
      <c r="I5">
        <v>703</v>
      </c>
      <c r="J5">
        <v>505</v>
      </c>
      <c r="K5">
        <v>516</v>
      </c>
      <c r="L5">
        <v>297</v>
      </c>
      <c r="M5">
        <v>272</v>
      </c>
      <c r="N5">
        <v>188</v>
      </c>
      <c r="O5">
        <v>820</v>
      </c>
      <c r="P5">
        <v>215</v>
      </c>
      <c r="Q5">
        <v>317</v>
      </c>
      <c r="R5">
        <v>157</v>
      </c>
      <c r="S5">
        <v>66</v>
      </c>
      <c r="T5">
        <v>70</v>
      </c>
      <c r="U5">
        <v>26</v>
      </c>
      <c r="V5">
        <v>39</v>
      </c>
      <c r="W5">
        <v>41</v>
      </c>
      <c r="X5">
        <v>5</v>
      </c>
    </row>
    <row r="6" spans="1:24" x14ac:dyDescent="0.2">
      <c r="A6" t="s">
        <v>27</v>
      </c>
      <c r="B6">
        <v>1306</v>
      </c>
      <c r="C6">
        <v>1314</v>
      </c>
      <c r="D6">
        <v>1514</v>
      </c>
      <c r="E6">
        <v>1021</v>
      </c>
      <c r="F6">
        <v>1314</v>
      </c>
      <c r="G6">
        <v>870</v>
      </c>
      <c r="H6">
        <v>884</v>
      </c>
      <c r="I6">
        <v>727</v>
      </c>
      <c r="J6">
        <v>503</v>
      </c>
      <c r="K6">
        <v>570</v>
      </c>
      <c r="L6">
        <v>246</v>
      </c>
      <c r="M6">
        <v>299</v>
      </c>
      <c r="N6">
        <v>247</v>
      </c>
      <c r="O6">
        <v>119</v>
      </c>
      <c r="P6">
        <v>131</v>
      </c>
      <c r="Q6">
        <v>179</v>
      </c>
      <c r="R6">
        <v>97</v>
      </c>
      <c r="S6">
        <v>54</v>
      </c>
      <c r="T6">
        <v>43</v>
      </c>
      <c r="U6">
        <v>29</v>
      </c>
      <c r="V6">
        <v>36</v>
      </c>
      <c r="W6">
        <v>45</v>
      </c>
      <c r="X6">
        <v>7</v>
      </c>
    </row>
    <row r="8" spans="1:24" x14ac:dyDescent="0.2">
      <c r="B8" t="s">
        <v>28</v>
      </c>
      <c r="C8" t="s">
        <v>29</v>
      </c>
      <c r="D8" t="s">
        <v>30</v>
      </c>
      <c r="E8" t="s">
        <v>18</v>
      </c>
      <c r="G8" t="s">
        <v>31</v>
      </c>
    </row>
    <row r="9" spans="1:24" x14ac:dyDescent="0.2">
      <c r="A9" t="s">
        <v>23</v>
      </c>
      <c r="B9">
        <v>6007</v>
      </c>
      <c r="C9">
        <v>1498</v>
      </c>
      <c r="D9">
        <v>4123</v>
      </c>
      <c r="E9">
        <v>90</v>
      </c>
      <c r="G9">
        <v>11718</v>
      </c>
    </row>
    <row r="10" spans="1:24" x14ac:dyDescent="0.2">
      <c r="A10" t="s">
        <v>24</v>
      </c>
      <c r="B10">
        <v>6488</v>
      </c>
      <c r="C10">
        <v>1814</v>
      </c>
      <c r="D10">
        <v>3688</v>
      </c>
      <c r="E10">
        <v>130</v>
      </c>
      <c r="G10">
        <v>12120</v>
      </c>
    </row>
    <row r="11" spans="1:24" x14ac:dyDescent="0.2">
      <c r="A11" t="s">
        <v>25</v>
      </c>
      <c r="B11">
        <v>5131</v>
      </c>
      <c r="C11">
        <v>1513</v>
      </c>
      <c r="D11">
        <v>5211</v>
      </c>
      <c r="E11">
        <v>187</v>
      </c>
      <c r="G11">
        <v>12042</v>
      </c>
    </row>
    <row r="12" spans="1:24" x14ac:dyDescent="0.2">
      <c r="A12" t="s">
        <v>26</v>
      </c>
      <c r="B12">
        <v>4588</v>
      </c>
      <c r="C12">
        <v>2112</v>
      </c>
      <c r="D12">
        <v>4426</v>
      </c>
      <c r="E12">
        <v>136</v>
      </c>
      <c r="G12">
        <v>11262</v>
      </c>
    </row>
    <row r="13" spans="1:24" x14ac:dyDescent="0.2">
      <c r="A13" t="s">
        <v>27</v>
      </c>
      <c r="B13">
        <v>4931</v>
      </c>
      <c r="C13">
        <v>1506</v>
      </c>
      <c r="D13">
        <v>5021</v>
      </c>
      <c r="E13">
        <v>97</v>
      </c>
      <c r="G13">
        <v>11555</v>
      </c>
    </row>
    <row r="15" spans="1:24" x14ac:dyDescent="0.2">
      <c r="B15" t="s">
        <v>28</v>
      </c>
      <c r="C15" t="s">
        <v>29</v>
      </c>
      <c r="D15" t="s">
        <v>30</v>
      </c>
      <c r="E15" t="s">
        <v>18</v>
      </c>
      <c r="G15" t="s">
        <v>31</v>
      </c>
    </row>
    <row r="16" spans="1:24" x14ac:dyDescent="0.2">
      <c r="A16" t="s">
        <v>23</v>
      </c>
      <c r="B16">
        <v>0.51263014200000001</v>
      </c>
      <c r="C16">
        <v>0.12783751500000001</v>
      </c>
      <c r="D16">
        <v>0.35185185200000002</v>
      </c>
      <c r="E16">
        <v>7.6804919999999997E-3</v>
      </c>
      <c r="H16">
        <v>51.263014200000001</v>
      </c>
      <c r="I16">
        <v>12.783751499999999</v>
      </c>
      <c r="J16">
        <v>35.185185199999999</v>
      </c>
      <c r="K16">
        <v>0.76804919999999999</v>
      </c>
    </row>
    <row r="17" spans="1:18" x14ac:dyDescent="0.2">
      <c r="A17" t="s">
        <v>24</v>
      </c>
      <c r="B17">
        <v>0.53531353100000001</v>
      </c>
      <c r="C17">
        <v>0.14966996699999999</v>
      </c>
      <c r="D17">
        <v>0.30429042899999997</v>
      </c>
      <c r="E17">
        <v>1.0726072999999999E-2</v>
      </c>
      <c r="H17">
        <v>53.531353099999997</v>
      </c>
      <c r="I17">
        <v>14.966996699999999</v>
      </c>
      <c r="J17">
        <v>30.429042899999999</v>
      </c>
      <c r="K17">
        <v>1.0726073</v>
      </c>
    </row>
    <row r="18" spans="1:18" x14ac:dyDescent="0.2">
      <c r="A18" t="s">
        <v>25</v>
      </c>
      <c r="B18">
        <v>0.42609201099999999</v>
      </c>
      <c r="C18">
        <v>0.125643581</v>
      </c>
      <c r="D18">
        <v>0.43273542599999998</v>
      </c>
      <c r="E18">
        <v>1.5528982E-2</v>
      </c>
      <c r="H18">
        <v>42.6092011</v>
      </c>
      <c r="I18">
        <v>12.5643581</v>
      </c>
      <c r="J18">
        <v>43.273542599999999</v>
      </c>
      <c r="K18">
        <v>1.5528982</v>
      </c>
    </row>
    <row r="19" spans="1:18" x14ac:dyDescent="0.2">
      <c r="A19" t="s">
        <v>26</v>
      </c>
      <c r="B19">
        <v>0.407387675</v>
      </c>
      <c r="C19">
        <v>0.18753329799999999</v>
      </c>
      <c r="D19">
        <v>0.39300301900000001</v>
      </c>
      <c r="E19">
        <v>1.2076007999999999E-2</v>
      </c>
      <c r="H19">
        <v>40.738767500000002</v>
      </c>
      <c r="I19">
        <v>18.753329799999999</v>
      </c>
      <c r="J19">
        <v>39.300301900000001</v>
      </c>
      <c r="K19">
        <v>1.2076008</v>
      </c>
    </row>
    <row r="20" spans="1:18" x14ac:dyDescent="0.2">
      <c r="A20" t="s">
        <v>27</v>
      </c>
      <c r="B20">
        <v>0.42674167000000002</v>
      </c>
      <c r="C20">
        <v>0.13033318899999999</v>
      </c>
      <c r="D20">
        <v>0.43453050599999998</v>
      </c>
      <c r="E20">
        <v>8.3946339999999998E-3</v>
      </c>
      <c r="H20">
        <v>42.674166999999997</v>
      </c>
      <c r="I20">
        <v>13.033318899999999</v>
      </c>
      <c r="J20">
        <v>43.453050599999997</v>
      </c>
      <c r="K20">
        <v>0.83946339999999997</v>
      </c>
    </row>
    <row r="21" spans="1:18" x14ac:dyDescent="0.2">
      <c r="B21" t="s">
        <v>6</v>
      </c>
      <c r="C21" t="s">
        <v>8</v>
      </c>
      <c r="D21" t="s">
        <v>13</v>
      </c>
      <c r="F21" t="s">
        <v>31</v>
      </c>
      <c r="K21" t="s">
        <v>6</v>
      </c>
      <c r="L21" t="s">
        <v>8</v>
      </c>
      <c r="M21" t="s">
        <v>13</v>
      </c>
      <c r="O21" t="s">
        <v>32</v>
      </c>
    </row>
    <row r="22" spans="1:18" x14ac:dyDescent="0.2">
      <c r="A22" t="s">
        <v>23</v>
      </c>
      <c r="B22">
        <v>883</v>
      </c>
      <c r="C22">
        <v>557</v>
      </c>
      <c r="D22">
        <v>58</v>
      </c>
      <c r="F22">
        <v>11718</v>
      </c>
      <c r="J22" t="s">
        <v>23</v>
      </c>
      <c r="K22">
        <v>883</v>
      </c>
      <c r="L22">
        <v>557</v>
      </c>
      <c r="M22">
        <v>58</v>
      </c>
      <c r="O22">
        <v>1498</v>
      </c>
    </row>
    <row r="23" spans="1:18" x14ac:dyDescent="0.2">
      <c r="A23" t="s">
        <v>24</v>
      </c>
      <c r="B23">
        <v>924</v>
      </c>
      <c r="C23">
        <v>571</v>
      </c>
      <c r="D23">
        <v>319</v>
      </c>
      <c r="F23">
        <v>12120</v>
      </c>
      <c r="J23" t="s">
        <v>24</v>
      </c>
      <c r="K23">
        <v>924</v>
      </c>
      <c r="L23">
        <v>571</v>
      </c>
      <c r="M23">
        <v>319</v>
      </c>
      <c r="O23">
        <v>1814</v>
      </c>
    </row>
    <row r="24" spans="1:18" x14ac:dyDescent="0.2">
      <c r="A24" t="s">
        <v>25</v>
      </c>
      <c r="B24">
        <v>818</v>
      </c>
      <c r="C24">
        <v>652</v>
      </c>
      <c r="D24">
        <v>43</v>
      </c>
      <c r="F24">
        <v>12042</v>
      </c>
      <c r="J24" t="s">
        <v>25</v>
      </c>
      <c r="K24">
        <v>818</v>
      </c>
      <c r="L24">
        <v>652</v>
      </c>
      <c r="M24">
        <v>43</v>
      </c>
      <c r="O24">
        <v>1513</v>
      </c>
    </row>
    <row r="25" spans="1:18" x14ac:dyDescent="0.2">
      <c r="A25" t="s">
        <v>26</v>
      </c>
      <c r="B25">
        <v>787</v>
      </c>
      <c r="C25">
        <v>505</v>
      </c>
      <c r="D25">
        <v>820</v>
      </c>
      <c r="F25">
        <v>11262</v>
      </c>
      <c r="J25" t="s">
        <v>26</v>
      </c>
      <c r="K25">
        <v>787</v>
      </c>
      <c r="L25">
        <v>505</v>
      </c>
      <c r="M25">
        <v>820</v>
      </c>
      <c r="O25">
        <v>2112</v>
      </c>
    </row>
    <row r="26" spans="1:18" x14ac:dyDescent="0.2">
      <c r="A26" t="s">
        <v>27</v>
      </c>
      <c r="B26">
        <v>884</v>
      </c>
      <c r="C26">
        <v>503</v>
      </c>
      <c r="D26">
        <v>119</v>
      </c>
      <c r="F26">
        <v>11555</v>
      </c>
      <c r="J26" t="s">
        <v>27</v>
      </c>
      <c r="K26">
        <v>884</v>
      </c>
      <c r="L26">
        <v>503</v>
      </c>
      <c r="M26">
        <v>119</v>
      </c>
      <c r="O26">
        <v>1506</v>
      </c>
    </row>
    <row r="27" spans="1:18" x14ac:dyDescent="0.2">
      <c r="B27" t="s">
        <v>6</v>
      </c>
      <c r="C27" t="s">
        <v>8</v>
      </c>
      <c r="D27" t="s">
        <v>33</v>
      </c>
      <c r="F27" t="s">
        <v>31</v>
      </c>
      <c r="K27" t="s">
        <v>6</v>
      </c>
      <c r="L27" t="s">
        <v>8</v>
      </c>
      <c r="M27" t="s">
        <v>13</v>
      </c>
      <c r="O27" t="s">
        <v>32</v>
      </c>
    </row>
    <row r="28" spans="1:18" x14ac:dyDescent="0.2">
      <c r="A28" t="s">
        <v>23</v>
      </c>
      <c r="B28">
        <v>7.5354156000000005E-2</v>
      </c>
      <c r="C28">
        <v>4.7533709E-2</v>
      </c>
      <c r="D28">
        <v>4.9496499999999999E-3</v>
      </c>
      <c r="J28" t="s">
        <v>23</v>
      </c>
      <c r="K28">
        <v>0.58945260300000002</v>
      </c>
      <c r="L28">
        <v>0.37182910499999999</v>
      </c>
      <c r="M28">
        <v>3.8718291000000002E-2</v>
      </c>
      <c r="P28">
        <v>58.945260300000001</v>
      </c>
      <c r="Q28">
        <v>37.182910499999998</v>
      </c>
      <c r="R28">
        <v>3.8718290999999998</v>
      </c>
    </row>
    <row r="29" spans="1:18" x14ac:dyDescent="0.2">
      <c r="A29" t="s">
        <v>24</v>
      </c>
      <c r="B29">
        <v>7.6237624000000004E-2</v>
      </c>
      <c r="C29">
        <v>4.7112211000000001E-2</v>
      </c>
      <c r="D29">
        <v>2.6320132E-2</v>
      </c>
      <c r="J29" t="s">
        <v>24</v>
      </c>
      <c r="K29">
        <v>0.50937155499999998</v>
      </c>
      <c r="L29">
        <v>0.31477398000000001</v>
      </c>
      <c r="M29">
        <v>0.17585446499999999</v>
      </c>
      <c r="P29">
        <v>50.937155500000003</v>
      </c>
      <c r="Q29">
        <v>31.477398000000001</v>
      </c>
      <c r="R29">
        <v>17.5854465</v>
      </c>
    </row>
    <row r="30" spans="1:18" x14ac:dyDescent="0.2">
      <c r="A30" t="s">
        <v>25</v>
      </c>
      <c r="B30">
        <v>6.7928915000000006E-2</v>
      </c>
      <c r="C30">
        <v>5.4143829999999997E-2</v>
      </c>
      <c r="D30">
        <v>3.5708350000000001E-3</v>
      </c>
      <c r="J30" t="s">
        <v>25</v>
      </c>
      <c r="K30">
        <v>0.54064772000000005</v>
      </c>
      <c r="L30">
        <v>0.43093192299999999</v>
      </c>
      <c r="M30">
        <v>2.8420357E-2</v>
      </c>
      <c r="P30">
        <v>54.064771999999998</v>
      </c>
      <c r="Q30">
        <v>43.093192299999998</v>
      </c>
      <c r="R30">
        <v>2.8420356999999998</v>
      </c>
    </row>
    <row r="31" spans="1:18" x14ac:dyDescent="0.2">
      <c r="A31" t="s">
        <v>26</v>
      </c>
      <c r="B31">
        <v>6.9881016000000004E-2</v>
      </c>
      <c r="C31">
        <v>4.4841058000000003E-2</v>
      </c>
      <c r="D31">
        <v>7.2811223999999994E-2</v>
      </c>
      <c r="J31" t="s">
        <v>26</v>
      </c>
      <c r="K31">
        <v>0.37263257599999999</v>
      </c>
      <c r="L31">
        <v>0.23910984800000001</v>
      </c>
      <c r="M31">
        <v>0.38825757599999999</v>
      </c>
      <c r="P31">
        <v>37.263257600000003</v>
      </c>
      <c r="Q31">
        <v>23.910984800000001</v>
      </c>
      <c r="R31">
        <v>38.825757600000003</v>
      </c>
    </row>
    <row r="32" spans="1:18" x14ac:dyDescent="0.2">
      <c r="A32" t="s">
        <v>27</v>
      </c>
      <c r="B32">
        <v>7.6503678000000006E-2</v>
      </c>
      <c r="C32">
        <v>4.3530938999999998E-2</v>
      </c>
      <c r="D32">
        <v>1.0298572000000001E-2</v>
      </c>
      <c r="J32" t="s">
        <v>27</v>
      </c>
      <c r="K32">
        <v>0.58698539199999999</v>
      </c>
      <c r="L32">
        <v>0.33399734399999997</v>
      </c>
      <c r="M32">
        <v>7.9017264000000004E-2</v>
      </c>
      <c r="P32">
        <v>58.698539199999999</v>
      </c>
      <c r="Q32">
        <v>33.3997344</v>
      </c>
      <c r="R32">
        <v>7.9017264000000003</v>
      </c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"/>
  <sheetViews>
    <sheetView topLeftCell="A16" workbookViewId="0">
      <selection activeCell="A19" sqref="A19:H40"/>
    </sheetView>
  </sheetViews>
  <sheetFormatPr defaultRowHeight="14.25" x14ac:dyDescent="0.2"/>
  <sheetData>
    <row r="1" spans="1:26" x14ac:dyDescent="0.2">
      <c r="B1" t="s">
        <v>34</v>
      </c>
      <c r="C1" t="s">
        <v>1</v>
      </c>
      <c r="D1" t="s">
        <v>2</v>
      </c>
      <c r="E1" t="s">
        <v>35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Z1" t="s">
        <v>36</v>
      </c>
    </row>
    <row r="2" spans="1:26" x14ac:dyDescent="0.2">
      <c r="A2" t="s">
        <v>23</v>
      </c>
      <c r="B2">
        <v>1643</v>
      </c>
      <c r="C2">
        <v>1008</v>
      </c>
      <c r="D2">
        <v>1287</v>
      </c>
      <c r="E2">
        <v>1319</v>
      </c>
      <c r="F2">
        <v>1050</v>
      </c>
      <c r="G2">
        <v>1087</v>
      </c>
      <c r="H2">
        <v>883</v>
      </c>
      <c r="I2">
        <v>962</v>
      </c>
      <c r="J2">
        <v>557</v>
      </c>
      <c r="K2">
        <v>509</v>
      </c>
      <c r="L2">
        <v>172</v>
      </c>
      <c r="M2">
        <v>321</v>
      </c>
      <c r="N2">
        <v>351</v>
      </c>
      <c r="O2">
        <v>58</v>
      </c>
      <c r="P2">
        <v>112</v>
      </c>
      <c r="Q2">
        <v>86</v>
      </c>
      <c r="R2">
        <v>95</v>
      </c>
      <c r="S2">
        <v>53</v>
      </c>
      <c r="T2">
        <v>37</v>
      </c>
      <c r="U2">
        <v>30</v>
      </c>
      <c r="V2">
        <v>66</v>
      </c>
      <c r="W2">
        <v>29</v>
      </c>
      <c r="X2">
        <v>3</v>
      </c>
      <c r="Z2">
        <f>SUM(B2:X2)</f>
        <v>11718</v>
      </c>
    </row>
    <row r="3" spans="1:26" x14ac:dyDescent="0.2">
      <c r="A3" t="s">
        <v>24</v>
      </c>
      <c r="B3">
        <v>1762</v>
      </c>
      <c r="C3">
        <v>1167</v>
      </c>
      <c r="D3">
        <v>795</v>
      </c>
      <c r="E3">
        <v>1178</v>
      </c>
      <c r="F3">
        <v>761</v>
      </c>
      <c r="G3">
        <v>1087</v>
      </c>
      <c r="H3">
        <v>924</v>
      </c>
      <c r="I3">
        <v>1070</v>
      </c>
      <c r="J3">
        <v>571</v>
      </c>
      <c r="K3">
        <v>502</v>
      </c>
      <c r="L3">
        <v>398</v>
      </c>
      <c r="M3">
        <v>328</v>
      </c>
      <c r="N3">
        <v>396</v>
      </c>
      <c r="O3">
        <v>319</v>
      </c>
      <c r="P3">
        <v>167</v>
      </c>
      <c r="Q3">
        <v>217</v>
      </c>
      <c r="R3">
        <v>113</v>
      </c>
      <c r="S3">
        <v>72</v>
      </c>
      <c r="T3">
        <v>58</v>
      </c>
      <c r="U3">
        <v>108</v>
      </c>
      <c r="V3">
        <v>52</v>
      </c>
      <c r="W3">
        <v>63</v>
      </c>
      <c r="X3">
        <v>12</v>
      </c>
      <c r="Z3">
        <f t="shared" ref="Z3:Z6" si="0">SUM(B3:X3)</f>
        <v>12120</v>
      </c>
    </row>
    <row r="4" spans="1:26" x14ac:dyDescent="0.2">
      <c r="A4" t="s">
        <v>25</v>
      </c>
      <c r="B4">
        <v>1338</v>
      </c>
      <c r="C4">
        <v>1422</v>
      </c>
      <c r="D4">
        <v>1180</v>
      </c>
      <c r="E4">
        <v>1152</v>
      </c>
      <c r="F4">
        <v>1392</v>
      </c>
      <c r="G4">
        <v>851</v>
      </c>
      <c r="H4">
        <v>818</v>
      </c>
      <c r="I4">
        <v>810</v>
      </c>
      <c r="J4">
        <v>652</v>
      </c>
      <c r="K4">
        <v>667</v>
      </c>
      <c r="L4">
        <v>416</v>
      </c>
      <c r="M4">
        <v>302</v>
      </c>
      <c r="N4">
        <v>226</v>
      </c>
      <c r="O4">
        <v>43</v>
      </c>
      <c r="P4">
        <v>259</v>
      </c>
      <c r="Q4">
        <v>13</v>
      </c>
      <c r="R4">
        <v>212</v>
      </c>
      <c r="S4">
        <v>96</v>
      </c>
      <c r="T4">
        <v>91</v>
      </c>
      <c r="U4">
        <v>31</v>
      </c>
      <c r="V4">
        <v>23</v>
      </c>
      <c r="W4">
        <v>34</v>
      </c>
      <c r="X4">
        <v>14</v>
      </c>
      <c r="Z4">
        <f t="shared" si="0"/>
        <v>12042</v>
      </c>
    </row>
    <row r="5" spans="1:26" x14ac:dyDescent="0.2">
      <c r="A5" t="s">
        <v>26</v>
      </c>
      <c r="B5">
        <v>1191</v>
      </c>
      <c r="C5">
        <v>1316</v>
      </c>
      <c r="D5">
        <v>1155</v>
      </c>
      <c r="E5">
        <v>909</v>
      </c>
      <c r="F5">
        <v>995</v>
      </c>
      <c r="G5">
        <v>672</v>
      </c>
      <c r="H5">
        <v>787</v>
      </c>
      <c r="I5">
        <v>703</v>
      </c>
      <c r="J5">
        <v>505</v>
      </c>
      <c r="K5">
        <v>516</v>
      </c>
      <c r="L5">
        <v>297</v>
      </c>
      <c r="M5">
        <v>272</v>
      </c>
      <c r="N5">
        <v>188</v>
      </c>
      <c r="O5">
        <v>820</v>
      </c>
      <c r="P5">
        <v>215</v>
      </c>
      <c r="Q5">
        <v>317</v>
      </c>
      <c r="R5">
        <v>157</v>
      </c>
      <c r="S5">
        <v>66</v>
      </c>
      <c r="T5">
        <v>70</v>
      </c>
      <c r="U5">
        <v>26</v>
      </c>
      <c r="V5">
        <v>39</v>
      </c>
      <c r="W5">
        <v>41</v>
      </c>
      <c r="X5">
        <v>5</v>
      </c>
      <c r="Z5">
        <f t="shared" si="0"/>
        <v>11262</v>
      </c>
    </row>
    <row r="6" spans="1:26" x14ac:dyDescent="0.2">
      <c r="A6" t="s">
        <v>27</v>
      </c>
      <c r="B6">
        <v>1306</v>
      </c>
      <c r="C6">
        <v>1314</v>
      </c>
      <c r="D6">
        <v>1514</v>
      </c>
      <c r="E6">
        <v>1021</v>
      </c>
      <c r="F6">
        <v>1314</v>
      </c>
      <c r="G6">
        <v>870</v>
      </c>
      <c r="H6">
        <v>884</v>
      </c>
      <c r="I6">
        <v>727</v>
      </c>
      <c r="J6">
        <v>503</v>
      </c>
      <c r="K6">
        <v>570</v>
      </c>
      <c r="L6">
        <v>246</v>
      </c>
      <c r="M6">
        <v>299</v>
      </c>
      <c r="N6">
        <v>247</v>
      </c>
      <c r="O6">
        <v>119</v>
      </c>
      <c r="P6">
        <v>131</v>
      </c>
      <c r="Q6">
        <v>179</v>
      </c>
      <c r="R6">
        <v>97</v>
      </c>
      <c r="S6">
        <v>54</v>
      </c>
      <c r="T6">
        <v>43</v>
      </c>
      <c r="U6">
        <v>29</v>
      </c>
      <c r="V6">
        <v>36</v>
      </c>
      <c r="W6">
        <v>45</v>
      </c>
      <c r="X6">
        <v>7</v>
      </c>
      <c r="Z6">
        <f t="shared" si="0"/>
        <v>11555</v>
      </c>
    </row>
    <row r="8" spans="1:26" x14ac:dyDescent="0.2">
      <c r="B8" t="s">
        <v>34</v>
      </c>
      <c r="C8" t="s">
        <v>1</v>
      </c>
      <c r="D8" t="s">
        <v>2</v>
      </c>
      <c r="E8" t="s">
        <v>35</v>
      </c>
      <c r="F8" t="s">
        <v>4</v>
      </c>
      <c r="G8" t="s">
        <v>5</v>
      </c>
      <c r="H8" t="s">
        <v>6</v>
      </c>
      <c r="I8" t="s">
        <v>7</v>
      </c>
      <c r="J8" t="s">
        <v>37</v>
      </c>
      <c r="K8" t="s">
        <v>9</v>
      </c>
      <c r="L8" t="s">
        <v>10</v>
      </c>
      <c r="M8" t="s">
        <v>11</v>
      </c>
      <c r="N8" t="s">
        <v>12</v>
      </c>
      <c r="O8" t="s">
        <v>13</v>
      </c>
      <c r="P8" t="s">
        <v>14</v>
      </c>
      <c r="Q8" t="s">
        <v>15</v>
      </c>
      <c r="R8" t="s">
        <v>16</v>
      </c>
      <c r="S8" t="s">
        <v>17</v>
      </c>
      <c r="T8" t="s">
        <v>18</v>
      </c>
      <c r="U8" t="s">
        <v>19</v>
      </c>
      <c r="V8" t="s">
        <v>20</v>
      </c>
      <c r="W8" t="s">
        <v>21</v>
      </c>
      <c r="X8" t="s">
        <v>22</v>
      </c>
    </row>
    <row r="9" spans="1:26" x14ac:dyDescent="0.2">
      <c r="A9" t="s">
        <v>23</v>
      </c>
      <c r="B9">
        <f>B2/$Z2*100</f>
        <v>14.02116402116402</v>
      </c>
      <c r="C9">
        <f t="shared" ref="C9:X9" si="1">C2/$Z2*100</f>
        <v>8.6021505376344098</v>
      </c>
      <c r="D9">
        <f t="shared" si="1"/>
        <v>10.983102918586789</v>
      </c>
      <c r="E9">
        <f t="shared" si="1"/>
        <v>11.256187062638675</v>
      </c>
      <c r="F9">
        <f t="shared" si="1"/>
        <v>8.9605734767025087</v>
      </c>
      <c r="G9">
        <f t="shared" si="1"/>
        <v>9.2763270182625028</v>
      </c>
      <c r="H9">
        <f t="shared" si="1"/>
        <v>7.5354155999317287</v>
      </c>
      <c r="I9">
        <f t="shared" si="1"/>
        <v>8.2095920805598226</v>
      </c>
      <c r="J9">
        <f t="shared" si="1"/>
        <v>4.7533708824031411</v>
      </c>
      <c r="K9">
        <f t="shared" si="1"/>
        <v>4.3437446663253114</v>
      </c>
      <c r="L9">
        <f t="shared" si="1"/>
        <v>1.4678272742788872</v>
      </c>
      <c r="M9">
        <f t="shared" si="1"/>
        <v>2.7393753200204816</v>
      </c>
      <c r="N9">
        <f t="shared" si="1"/>
        <v>2.9953917050691241</v>
      </c>
      <c r="O9">
        <f t="shared" si="1"/>
        <v>0.49496501109404339</v>
      </c>
      <c r="P9">
        <f t="shared" si="1"/>
        <v>0.95579450418160095</v>
      </c>
      <c r="Q9">
        <f t="shared" si="1"/>
        <v>0.73391363713944358</v>
      </c>
      <c r="R9">
        <f t="shared" si="1"/>
        <v>0.81071855265403647</v>
      </c>
      <c r="S9">
        <f t="shared" si="1"/>
        <v>0.45229561358593617</v>
      </c>
      <c r="T9">
        <f t="shared" si="1"/>
        <v>0.31575354155999313</v>
      </c>
      <c r="U9">
        <f t="shared" si="1"/>
        <v>0.2560163850486431</v>
      </c>
      <c r="V9">
        <f t="shared" si="1"/>
        <v>0.5632360471070148</v>
      </c>
      <c r="W9">
        <f t="shared" si="1"/>
        <v>0.2474825055470217</v>
      </c>
      <c r="X9">
        <f t="shared" si="1"/>
        <v>2.5601638504864313E-2</v>
      </c>
    </row>
    <row r="10" spans="1:26" x14ac:dyDescent="0.2">
      <c r="A10" t="s">
        <v>24</v>
      </c>
      <c r="B10">
        <f t="shared" ref="B10:X10" si="2">B3/$Z3*100</f>
        <v>14.537953795379538</v>
      </c>
      <c r="C10">
        <f t="shared" si="2"/>
        <v>9.6287128712871297</v>
      </c>
      <c r="D10">
        <f t="shared" si="2"/>
        <v>6.5594059405940595</v>
      </c>
      <c r="E10">
        <f t="shared" si="2"/>
        <v>9.7194719471947195</v>
      </c>
      <c r="F10">
        <f t="shared" si="2"/>
        <v>6.278877887788779</v>
      </c>
      <c r="G10">
        <f t="shared" si="2"/>
        <v>8.9686468646864697</v>
      </c>
      <c r="H10">
        <f t="shared" si="2"/>
        <v>7.6237623762376234</v>
      </c>
      <c r="I10">
        <f t="shared" si="2"/>
        <v>8.8283828382838276</v>
      </c>
      <c r="J10">
        <f t="shared" si="2"/>
        <v>4.7112211221122111</v>
      </c>
      <c r="K10">
        <f t="shared" si="2"/>
        <v>4.1419141914191417</v>
      </c>
      <c r="L10">
        <f t="shared" si="2"/>
        <v>3.2838283828382839</v>
      </c>
      <c r="M10">
        <f t="shared" si="2"/>
        <v>2.7062706270627062</v>
      </c>
      <c r="N10">
        <f t="shared" si="2"/>
        <v>3.2673267326732676</v>
      </c>
      <c r="O10">
        <f t="shared" si="2"/>
        <v>2.6320132013201323</v>
      </c>
      <c r="P10">
        <f t="shared" si="2"/>
        <v>1.3778877887788779</v>
      </c>
      <c r="Q10">
        <f t="shared" si="2"/>
        <v>1.7904290429042906</v>
      </c>
      <c r="R10">
        <f t="shared" si="2"/>
        <v>0.93234323432343247</v>
      </c>
      <c r="S10">
        <f t="shared" si="2"/>
        <v>0.59405940594059403</v>
      </c>
      <c r="T10">
        <f t="shared" si="2"/>
        <v>0.47854785478547851</v>
      </c>
      <c r="U10">
        <f t="shared" si="2"/>
        <v>0.89108910891089099</v>
      </c>
      <c r="V10">
        <f t="shared" si="2"/>
        <v>0.42904290429042907</v>
      </c>
      <c r="W10">
        <f t="shared" si="2"/>
        <v>0.51980198019801982</v>
      </c>
      <c r="X10">
        <f t="shared" si="2"/>
        <v>9.9009900990099015E-2</v>
      </c>
    </row>
    <row r="11" spans="1:26" x14ac:dyDescent="0.2">
      <c r="A11" t="s">
        <v>25</v>
      </c>
      <c r="B11">
        <f t="shared" ref="B11:X11" si="3">B4/$Z4*100</f>
        <v>11.111111111111111</v>
      </c>
      <c r="C11">
        <f t="shared" si="3"/>
        <v>11.808669656203289</v>
      </c>
      <c r="D11">
        <f t="shared" si="3"/>
        <v>9.7990367048663014</v>
      </c>
      <c r="E11">
        <f t="shared" si="3"/>
        <v>9.5665171898355759</v>
      </c>
      <c r="F11">
        <f t="shared" si="3"/>
        <v>11.559541604384654</v>
      </c>
      <c r="G11">
        <f t="shared" si="3"/>
        <v>7.0669324032552732</v>
      </c>
      <c r="H11">
        <f t="shared" si="3"/>
        <v>6.7928915462547756</v>
      </c>
      <c r="I11">
        <f t="shared" si="3"/>
        <v>6.7264573991031389</v>
      </c>
      <c r="J11">
        <f t="shared" si="3"/>
        <v>5.4143829928583287</v>
      </c>
      <c r="K11">
        <f t="shared" si="3"/>
        <v>5.5389470187676464</v>
      </c>
      <c r="L11">
        <f t="shared" si="3"/>
        <v>3.4545756518850688</v>
      </c>
      <c r="M11">
        <f t="shared" si="3"/>
        <v>2.5078890549742567</v>
      </c>
      <c r="N11">
        <f t="shared" si="3"/>
        <v>1.8767646570337155</v>
      </c>
      <c r="O11">
        <f t="shared" si="3"/>
        <v>0.35708354094004319</v>
      </c>
      <c r="P11">
        <f t="shared" si="3"/>
        <v>2.1508055140342135</v>
      </c>
      <c r="Q11">
        <f t="shared" si="3"/>
        <v>0.1079554891214084</v>
      </c>
      <c r="R11">
        <f t="shared" si="3"/>
        <v>1.7605048995183523</v>
      </c>
      <c r="S11">
        <f t="shared" si="3"/>
        <v>0.79720976581963121</v>
      </c>
      <c r="T11">
        <f t="shared" si="3"/>
        <v>0.75568842384985879</v>
      </c>
      <c r="U11">
        <f t="shared" si="3"/>
        <v>0.25743232021258927</v>
      </c>
      <c r="V11">
        <f t="shared" si="3"/>
        <v>0.19099817306095332</v>
      </c>
      <c r="W11">
        <f t="shared" si="3"/>
        <v>0.28234512539445278</v>
      </c>
      <c r="X11">
        <f t="shared" si="3"/>
        <v>0.1162597575153629</v>
      </c>
    </row>
    <row r="12" spans="1:26" x14ac:dyDescent="0.2">
      <c r="A12" t="s">
        <v>26</v>
      </c>
      <c r="B12">
        <f t="shared" ref="B12:X12" si="4">B5/$Z5*100</f>
        <v>10.575386254661694</v>
      </c>
      <c r="C12">
        <f t="shared" si="4"/>
        <v>11.68531344343811</v>
      </c>
      <c r="D12">
        <f t="shared" si="4"/>
        <v>10.255727224294088</v>
      </c>
      <c r="E12">
        <f t="shared" si="4"/>
        <v>8.071390516782099</v>
      </c>
      <c r="F12">
        <f t="shared" si="4"/>
        <v>8.8350204226602731</v>
      </c>
      <c r="G12">
        <f t="shared" si="4"/>
        <v>5.9669685668620138</v>
      </c>
      <c r="H12">
        <f t="shared" si="4"/>
        <v>6.9881015805363171</v>
      </c>
      <c r="I12">
        <f t="shared" si="4"/>
        <v>6.2422305096785653</v>
      </c>
      <c r="J12">
        <f t="shared" si="4"/>
        <v>4.4841058426567217</v>
      </c>
      <c r="K12">
        <f t="shared" si="4"/>
        <v>4.5817794352690466</v>
      </c>
      <c r="L12">
        <f t="shared" si="4"/>
        <v>2.6371870005327649</v>
      </c>
      <c r="M12">
        <f t="shared" si="4"/>
        <v>2.4152015627774817</v>
      </c>
      <c r="N12">
        <f t="shared" si="4"/>
        <v>1.66933049191973</v>
      </c>
      <c r="O12">
        <f t="shared" si="4"/>
        <v>7.28112235837329</v>
      </c>
      <c r="P12">
        <f t="shared" si="4"/>
        <v>1.909074764695436</v>
      </c>
      <c r="Q12">
        <f t="shared" si="4"/>
        <v>2.8147753507369919</v>
      </c>
      <c r="R12">
        <f t="shared" si="4"/>
        <v>1.3940685491031788</v>
      </c>
      <c r="S12">
        <f t="shared" si="4"/>
        <v>0.58604155567394778</v>
      </c>
      <c r="T12">
        <f t="shared" si="4"/>
        <v>0.62155922571479316</v>
      </c>
      <c r="U12">
        <f t="shared" si="4"/>
        <v>0.23086485526549455</v>
      </c>
      <c r="V12">
        <f t="shared" si="4"/>
        <v>0.34629728289824185</v>
      </c>
      <c r="W12">
        <f t="shared" si="4"/>
        <v>0.36405611791866455</v>
      </c>
      <c r="X12">
        <f t="shared" si="4"/>
        <v>4.4397087551056653E-2</v>
      </c>
    </row>
    <row r="13" spans="1:26" x14ac:dyDescent="0.2">
      <c r="A13" t="s">
        <v>27</v>
      </c>
      <c r="B13">
        <f t="shared" ref="B13:X13" si="5">B6/$Z6*100</f>
        <v>11.302466464733882</v>
      </c>
      <c r="C13">
        <f t="shared" si="5"/>
        <v>11.371700562527044</v>
      </c>
      <c r="D13">
        <f t="shared" si="5"/>
        <v>13.102553007356125</v>
      </c>
      <c r="E13">
        <f t="shared" si="5"/>
        <v>8.8360017308524448</v>
      </c>
      <c r="F13">
        <f t="shared" si="5"/>
        <v>11.371700562527044</v>
      </c>
      <c r="G13">
        <f t="shared" si="5"/>
        <v>7.5292081350064901</v>
      </c>
      <c r="H13">
        <f t="shared" si="5"/>
        <v>7.6503678061445255</v>
      </c>
      <c r="I13">
        <f t="shared" si="5"/>
        <v>6.291648636953699</v>
      </c>
      <c r="J13">
        <f t="shared" si="5"/>
        <v>4.353093898745132</v>
      </c>
      <c r="K13">
        <f t="shared" si="5"/>
        <v>4.9329294677628734</v>
      </c>
      <c r="L13">
        <f t="shared" si="5"/>
        <v>2.128948507139766</v>
      </c>
      <c r="M13">
        <f t="shared" si="5"/>
        <v>2.5876244050194721</v>
      </c>
      <c r="N13">
        <f t="shared" si="5"/>
        <v>2.1376027693639119</v>
      </c>
      <c r="O13">
        <f t="shared" si="5"/>
        <v>1.0298572046733017</v>
      </c>
      <c r="P13">
        <f t="shared" si="5"/>
        <v>1.1337083513630462</v>
      </c>
      <c r="Q13">
        <f t="shared" si="5"/>
        <v>1.549112938122025</v>
      </c>
      <c r="R13">
        <f t="shared" si="5"/>
        <v>0.83946343574210303</v>
      </c>
      <c r="S13">
        <f t="shared" si="5"/>
        <v>0.4673301601038512</v>
      </c>
      <c r="T13">
        <f t="shared" si="5"/>
        <v>0.37213327563825183</v>
      </c>
      <c r="U13">
        <f t="shared" si="5"/>
        <v>0.25097360450021639</v>
      </c>
      <c r="V13">
        <f t="shared" si="5"/>
        <v>0.31155344006923408</v>
      </c>
      <c r="W13">
        <f t="shared" si="5"/>
        <v>0.38944180008654267</v>
      </c>
      <c r="X13">
        <f t="shared" si="5"/>
        <v>6.0579835569017748E-2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tabSelected="1" workbookViewId="0">
      <selection activeCell="A2" sqref="A2:F23"/>
    </sheetView>
  </sheetViews>
  <sheetFormatPr defaultRowHeight="14.25" x14ac:dyDescent="0.2"/>
  <sheetData>
    <row r="1" spans="1:8" x14ac:dyDescent="0.2">
      <c r="H1" t="s">
        <v>38</v>
      </c>
    </row>
    <row r="2" spans="1:8" x14ac:dyDescent="0.2">
      <c r="A2" t="s">
        <v>18</v>
      </c>
      <c r="B2">
        <v>0.31575399999999998</v>
      </c>
      <c r="C2">
        <v>0.47854799999999997</v>
      </c>
      <c r="D2">
        <v>0.75568800000000003</v>
      </c>
      <c r="E2">
        <v>0.62155899999999997</v>
      </c>
      <c r="F2">
        <v>0.37213299999999999</v>
      </c>
      <c r="H2">
        <v>22</v>
      </c>
    </row>
    <row r="3" spans="1:8" x14ac:dyDescent="0.2">
      <c r="A3" t="s">
        <v>17</v>
      </c>
      <c r="B3">
        <v>0.45229599999999998</v>
      </c>
      <c r="C3">
        <v>0.594059</v>
      </c>
      <c r="D3">
        <v>0.79720999999999997</v>
      </c>
      <c r="E3">
        <v>0.58604199999999995</v>
      </c>
      <c r="F3">
        <v>0.46733000000000002</v>
      </c>
      <c r="H3">
        <v>21</v>
      </c>
    </row>
    <row r="4" spans="1:8" x14ac:dyDescent="0.2">
      <c r="A4" t="s">
        <v>16</v>
      </c>
      <c r="B4">
        <v>0.81071899999999997</v>
      </c>
      <c r="C4">
        <v>0.93234300000000003</v>
      </c>
      <c r="D4">
        <v>1.760505</v>
      </c>
      <c r="E4">
        <v>1.394069</v>
      </c>
      <c r="F4">
        <v>0.83946299999999996</v>
      </c>
      <c r="H4">
        <v>20</v>
      </c>
    </row>
    <row r="5" spans="1:8" x14ac:dyDescent="0.2">
      <c r="A5" t="s">
        <v>22</v>
      </c>
      <c r="B5">
        <v>2.5602E-2</v>
      </c>
      <c r="C5">
        <v>9.9010000000000001E-2</v>
      </c>
      <c r="D5">
        <v>0.11626</v>
      </c>
      <c r="E5">
        <v>4.4396999999999999E-2</v>
      </c>
      <c r="F5">
        <v>6.0580000000000002E-2</v>
      </c>
      <c r="H5">
        <v>19</v>
      </c>
    </row>
    <row r="6" spans="1:8" x14ac:dyDescent="0.2">
      <c r="A6" t="s">
        <v>9</v>
      </c>
      <c r="B6">
        <v>4.3437450000000002</v>
      </c>
      <c r="C6">
        <v>4.1419139999999999</v>
      </c>
      <c r="D6">
        <v>5.5389470000000003</v>
      </c>
      <c r="E6">
        <v>4.581779</v>
      </c>
      <c r="F6">
        <v>4.9329289999999997</v>
      </c>
      <c r="H6">
        <v>18</v>
      </c>
    </row>
    <row r="7" spans="1:8" x14ac:dyDescent="0.2">
      <c r="A7" t="s">
        <v>4</v>
      </c>
      <c r="B7">
        <v>8.9605730000000001</v>
      </c>
      <c r="C7">
        <v>6.2788779999999997</v>
      </c>
      <c r="D7">
        <v>11.55954</v>
      </c>
      <c r="E7">
        <v>8.8350200000000001</v>
      </c>
      <c r="F7">
        <v>11.371700000000001</v>
      </c>
      <c r="H7">
        <v>17</v>
      </c>
    </row>
    <row r="8" spans="1:8" x14ac:dyDescent="0.2">
      <c r="A8" t="s">
        <v>21</v>
      </c>
      <c r="B8">
        <v>0.24748300000000001</v>
      </c>
      <c r="C8">
        <v>0.51980199999999999</v>
      </c>
      <c r="D8">
        <v>0.28234500000000001</v>
      </c>
      <c r="E8">
        <v>0.36405599999999999</v>
      </c>
      <c r="F8">
        <v>0.38944200000000001</v>
      </c>
      <c r="H8">
        <v>16</v>
      </c>
    </row>
    <row r="9" spans="1:8" x14ac:dyDescent="0.2">
      <c r="A9" t="s">
        <v>2</v>
      </c>
      <c r="B9">
        <v>10.9831</v>
      </c>
      <c r="C9">
        <v>6.5594060000000001</v>
      </c>
      <c r="D9">
        <v>9.7990370000000002</v>
      </c>
      <c r="E9">
        <v>10.25573</v>
      </c>
      <c r="F9">
        <v>13.102550000000001</v>
      </c>
      <c r="H9">
        <v>15</v>
      </c>
    </row>
    <row r="10" spans="1:8" x14ac:dyDescent="0.2">
      <c r="A10" t="s">
        <v>19</v>
      </c>
      <c r="B10">
        <v>0.25601600000000002</v>
      </c>
      <c r="C10">
        <v>0.89108900000000002</v>
      </c>
      <c r="D10">
        <v>0.25743199999999999</v>
      </c>
      <c r="E10">
        <v>0.23086499999999999</v>
      </c>
      <c r="F10">
        <v>0.25097399999999997</v>
      </c>
      <c r="H10">
        <v>14</v>
      </c>
    </row>
    <row r="11" spans="1:8" x14ac:dyDescent="0.2">
      <c r="A11" t="s">
        <v>1</v>
      </c>
      <c r="B11">
        <v>8.6021509999999992</v>
      </c>
      <c r="C11">
        <v>9.6287129999999994</v>
      </c>
      <c r="D11">
        <v>11.808669999999999</v>
      </c>
      <c r="E11">
        <v>11.685309999999999</v>
      </c>
      <c r="F11">
        <v>11.371700000000001</v>
      </c>
      <c r="H11">
        <v>13</v>
      </c>
    </row>
    <row r="12" spans="1:8" x14ac:dyDescent="0.2">
      <c r="A12" t="s">
        <v>13</v>
      </c>
      <c r="B12">
        <v>0.49496499999999999</v>
      </c>
      <c r="C12">
        <v>2.6320130000000002</v>
      </c>
      <c r="D12">
        <v>0.35708400000000001</v>
      </c>
      <c r="E12">
        <v>7.2811219999999999</v>
      </c>
      <c r="F12">
        <v>1.029857</v>
      </c>
      <c r="H12">
        <v>12</v>
      </c>
    </row>
    <row r="13" spans="1:8" x14ac:dyDescent="0.2">
      <c r="A13" t="s">
        <v>8</v>
      </c>
      <c r="B13">
        <v>4.7533709999999996</v>
      </c>
      <c r="C13">
        <v>4.7112210000000001</v>
      </c>
      <c r="D13">
        <v>5.4143829999999999</v>
      </c>
      <c r="E13">
        <v>4.4841059999999997</v>
      </c>
      <c r="F13">
        <v>4.3530939999999996</v>
      </c>
      <c r="H13">
        <v>11</v>
      </c>
    </row>
    <row r="14" spans="1:8" x14ac:dyDescent="0.2">
      <c r="A14" t="s">
        <v>6</v>
      </c>
      <c r="B14">
        <v>7.5354159999999997</v>
      </c>
      <c r="C14">
        <v>7.6237620000000001</v>
      </c>
      <c r="D14">
        <v>6.7928920000000002</v>
      </c>
      <c r="E14">
        <v>6.9881019999999996</v>
      </c>
      <c r="F14">
        <v>7.6503680000000003</v>
      </c>
      <c r="H14">
        <v>10</v>
      </c>
    </row>
    <row r="15" spans="1:8" x14ac:dyDescent="0.2">
      <c r="A15" t="s">
        <v>12</v>
      </c>
      <c r="B15">
        <v>2.9953919999999998</v>
      </c>
      <c r="C15">
        <v>3.2673269999999999</v>
      </c>
      <c r="D15">
        <v>1.876765</v>
      </c>
      <c r="E15">
        <v>1.66933</v>
      </c>
      <c r="F15">
        <v>2.1376029999999999</v>
      </c>
      <c r="H15">
        <v>9</v>
      </c>
    </row>
    <row r="16" spans="1:8" x14ac:dyDescent="0.2">
      <c r="A16" t="s">
        <v>10</v>
      </c>
      <c r="B16">
        <v>1.467827</v>
      </c>
      <c r="C16">
        <v>3.2838280000000002</v>
      </c>
      <c r="D16">
        <v>3.4545759999999999</v>
      </c>
      <c r="E16">
        <v>2.6371869999999999</v>
      </c>
      <c r="F16">
        <v>2.128949</v>
      </c>
      <c r="H16">
        <v>8</v>
      </c>
    </row>
    <row r="17" spans="1:8" x14ac:dyDescent="0.2">
      <c r="A17" t="s">
        <v>7</v>
      </c>
      <c r="B17">
        <v>8.2095920000000007</v>
      </c>
      <c r="C17">
        <v>8.8283830000000005</v>
      </c>
      <c r="D17">
        <v>6.7264569999999999</v>
      </c>
      <c r="E17">
        <v>6.2422310000000003</v>
      </c>
      <c r="F17">
        <v>6.2916489999999996</v>
      </c>
      <c r="H17">
        <v>7</v>
      </c>
    </row>
    <row r="18" spans="1:8" x14ac:dyDescent="0.2">
      <c r="A18" t="s">
        <v>3</v>
      </c>
      <c r="B18">
        <v>11.25619</v>
      </c>
      <c r="C18">
        <v>9.7194719999999997</v>
      </c>
      <c r="D18">
        <v>9.5665169999999993</v>
      </c>
      <c r="E18">
        <v>8.0713910000000002</v>
      </c>
      <c r="F18">
        <v>8.8360020000000006</v>
      </c>
      <c r="H18">
        <v>6</v>
      </c>
    </row>
    <row r="19" spans="1:8" x14ac:dyDescent="0.2">
      <c r="A19" t="s">
        <v>20</v>
      </c>
      <c r="B19">
        <v>0.56323599999999996</v>
      </c>
      <c r="C19">
        <v>0.42904300000000001</v>
      </c>
      <c r="D19">
        <v>0.190998</v>
      </c>
      <c r="E19">
        <v>0.34629700000000002</v>
      </c>
      <c r="F19">
        <v>0.31155300000000002</v>
      </c>
      <c r="H19">
        <v>5</v>
      </c>
    </row>
    <row r="20" spans="1:8" x14ac:dyDescent="0.2">
      <c r="A20" t="s">
        <v>5</v>
      </c>
      <c r="B20">
        <v>9.2763270000000002</v>
      </c>
      <c r="C20">
        <v>8.9686470000000007</v>
      </c>
      <c r="D20">
        <v>7.0669320000000004</v>
      </c>
      <c r="E20">
        <v>5.9669689999999997</v>
      </c>
      <c r="F20">
        <v>7.5292079999999997</v>
      </c>
      <c r="H20">
        <v>4</v>
      </c>
    </row>
    <row r="21" spans="1:8" x14ac:dyDescent="0.2">
      <c r="A21" t="s">
        <v>11</v>
      </c>
      <c r="B21">
        <v>2.7393749999999999</v>
      </c>
      <c r="C21">
        <v>2.7062710000000001</v>
      </c>
      <c r="D21">
        <v>2.507889</v>
      </c>
      <c r="E21">
        <v>2.4152019999999998</v>
      </c>
      <c r="F21">
        <v>2.5876239999999999</v>
      </c>
      <c r="H21">
        <v>3</v>
      </c>
    </row>
    <row r="22" spans="1:8" x14ac:dyDescent="0.2">
      <c r="A22" t="s">
        <v>0</v>
      </c>
      <c r="B22">
        <v>14.02116</v>
      </c>
      <c r="C22">
        <v>14.53795</v>
      </c>
      <c r="D22">
        <v>11.11111</v>
      </c>
      <c r="E22">
        <v>10.575390000000001</v>
      </c>
      <c r="F22">
        <v>11.30247</v>
      </c>
      <c r="H22">
        <v>2</v>
      </c>
    </row>
    <row r="23" spans="1:8" x14ac:dyDescent="0.2">
      <c r="A23" t="s">
        <v>15</v>
      </c>
      <c r="B23">
        <v>0.73391399999999996</v>
      </c>
      <c r="C23">
        <v>1.790429</v>
      </c>
      <c r="D23">
        <v>0.107955</v>
      </c>
      <c r="E23">
        <v>2.814775</v>
      </c>
      <c r="F23">
        <v>1.549113</v>
      </c>
      <c r="H23">
        <v>1</v>
      </c>
    </row>
  </sheetData>
  <autoFilter ref="A1:H23">
    <sortState xmlns:xlrd2="http://schemas.microsoft.com/office/spreadsheetml/2017/richdata2" ref="A2:H23">
      <sortCondition descending="1" ref="H1:H23"/>
    </sortState>
  </autoFilter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celltype_number</vt:lpstr>
      <vt:lpstr>all celltypes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Ziyue Zhou</cp:lastModifiedBy>
  <dcterms:created xsi:type="dcterms:W3CDTF">2024-04-24T07:25:10Z</dcterms:created>
  <dcterms:modified xsi:type="dcterms:W3CDTF">2024-04-25T00:21:18Z</dcterms:modified>
</cp:coreProperties>
</file>